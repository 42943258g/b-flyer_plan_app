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updateLinks="never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rQui\python\b-flyer-plan-app\"/>
    </mc:Choice>
  </mc:AlternateContent>
  <xr:revisionPtr revIDLastSave="0" documentId="13_ncr:1_{92740916-9DAC-4A65-8EE6-FCA4210D7691}" xr6:coauthVersionLast="47" xr6:coauthVersionMax="47" xr10:uidLastSave="{00000000-0000-0000-0000-000000000000}"/>
  <bookViews>
    <workbookView xWindow="-120" yWindow="-120" windowWidth="29040" windowHeight="16440" tabRatio="661" xr2:uid="{00000000-000D-0000-FFFF-FFFF00000000}"/>
  </bookViews>
  <sheets>
    <sheet name="マクロ有効化" sheetId="86" r:id="rId1"/>
    <sheet name="List" sheetId="79" r:id="rId2"/>
    <sheet name="ValidationLists" sheetId="83" state="veryHidden" r:id="rId3"/>
    <sheet name="ValidationPairs" sheetId="84" state="veryHidden" r:id="rId4"/>
  </sheets>
  <externalReferences>
    <externalReference r:id="rId5"/>
  </externalReferences>
  <definedNames>
    <definedName name="PRINT_PRICE">[1]_prices!$A$2:$B$5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Z95" i="79" l="1"/>
  <c r="BW95" i="79"/>
  <c r="BV95" i="79"/>
  <c r="BU95" i="79"/>
  <c r="BT95" i="79"/>
  <c r="BS95" i="79"/>
  <c r="BO95" i="79"/>
  <c r="BK95" i="79"/>
  <c r="BG95" i="79"/>
  <c r="BC95" i="79"/>
  <c r="AY95" i="79"/>
  <c r="AU95" i="79"/>
  <c r="AQ95" i="79"/>
  <c r="AM95" i="79"/>
  <c r="AI95" i="79"/>
  <c r="AE95" i="79"/>
  <c r="AA95" i="79"/>
  <c r="W95" i="79"/>
  <c r="S95" i="79"/>
  <c r="O95" i="79"/>
  <c r="K95" i="79"/>
  <c r="BZ99" i="79"/>
  <c r="BZ98" i="79"/>
  <c r="BZ97" i="79"/>
  <c r="BZ96" i="79"/>
  <c r="BZ94" i="79"/>
  <c r="BZ93" i="79"/>
  <c r="BZ92" i="79"/>
  <c r="BZ91" i="79"/>
  <c r="BZ90" i="79"/>
  <c r="BZ89" i="79"/>
  <c r="BZ88" i="79"/>
  <c r="BZ87" i="79"/>
  <c r="BZ86" i="79"/>
  <c r="BZ85" i="79"/>
  <c r="BZ84" i="79"/>
  <c r="BZ83" i="79"/>
  <c r="BZ82" i="79"/>
  <c r="BZ81" i="79"/>
  <c r="BZ80" i="79"/>
  <c r="BZ79" i="79"/>
  <c r="BZ78" i="79"/>
  <c r="BZ77" i="79"/>
  <c r="BZ76" i="79"/>
  <c r="BZ75" i="79"/>
  <c r="BZ74" i="79"/>
  <c r="BZ73" i="79"/>
  <c r="BZ72" i="79"/>
  <c r="BZ71" i="79"/>
  <c r="BZ70" i="79"/>
  <c r="BZ69" i="79"/>
  <c r="BZ68" i="79"/>
  <c r="BZ67" i="79"/>
  <c r="BZ66" i="79"/>
  <c r="BZ65" i="79"/>
  <c r="BZ64" i="79"/>
  <c r="BZ63" i="79"/>
  <c r="BZ62" i="79"/>
  <c r="BZ61" i="79"/>
  <c r="BZ60" i="79"/>
  <c r="BZ59" i="79"/>
  <c r="BZ58" i="79"/>
  <c r="BZ57" i="79"/>
  <c r="BZ56" i="79"/>
  <c r="BZ55" i="79"/>
  <c r="BZ54" i="79"/>
  <c r="BZ53" i="79"/>
  <c r="BZ52" i="79"/>
  <c r="BZ51" i="79"/>
  <c r="BZ50" i="79"/>
  <c r="BZ49" i="79"/>
  <c r="BZ48" i="79"/>
  <c r="BZ47" i="79"/>
  <c r="BZ46" i="79"/>
  <c r="BZ45" i="79"/>
  <c r="BZ44" i="79"/>
  <c r="BZ43" i="79"/>
  <c r="BZ42" i="79"/>
  <c r="BZ41" i="79"/>
  <c r="BZ40" i="79"/>
  <c r="BZ39" i="79"/>
  <c r="BZ38" i="79"/>
  <c r="BZ37" i="79"/>
  <c r="BZ36" i="79"/>
  <c r="BZ35" i="79"/>
  <c r="BZ34" i="79"/>
  <c r="BZ33" i="79"/>
  <c r="BZ32" i="79"/>
  <c r="BZ31" i="79"/>
  <c r="BZ30" i="79"/>
  <c r="BZ29" i="79"/>
  <c r="BZ28" i="79"/>
  <c r="BZ27" i="79"/>
  <c r="BZ26" i="79"/>
  <c r="BZ25" i="79"/>
  <c r="BZ24" i="79"/>
  <c r="BZ23" i="79"/>
  <c r="BZ22" i="79"/>
  <c r="BZ21" i="79"/>
  <c r="BZ20" i="79"/>
  <c r="BZ19" i="79"/>
  <c r="BZ18" i="79"/>
  <c r="BZ17" i="79"/>
  <c r="BZ16" i="79"/>
  <c r="BZ15" i="79"/>
  <c r="BZ14" i="79"/>
  <c r="BZ13" i="79"/>
  <c r="BZ12" i="79"/>
  <c r="BZ11" i="79"/>
  <c r="BZ10" i="79"/>
  <c r="BW101" i="79"/>
  <c r="BX101" i="79"/>
  <c r="BY101" i="79"/>
  <c r="BT101" i="79"/>
  <c r="BU101" i="79"/>
  <c r="BV101" i="79"/>
  <c r="BT11" i="79"/>
  <c r="BU11" i="79"/>
  <c r="BV11" i="79"/>
  <c r="BW11" i="79"/>
  <c r="BT12" i="79"/>
  <c r="BU12" i="79"/>
  <c r="BV12" i="79"/>
  <c r="BW12" i="79"/>
  <c r="BT13" i="79"/>
  <c r="BU13" i="79"/>
  <c r="BV13" i="79"/>
  <c r="BW13" i="79"/>
  <c r="BT14" i="79"/>
  <c r="BU14" i="79"/>
  <c r="BV14" i="79"/>
  <c r="BW14" i="79"/>
  <c r="BT15" i="79"/>
  <c r="BU15" i="79"/>
  <c r="BV15" i="79"/>
  <c r="BW15" i="79"/>
  <c r="BT16" i="79"/>
  <c r="BU16" i="79"/>
  <c r="BV16" i="79"/>
  <c r="BW16" i="79"/>
  <c r="BT17" i="79"/>
  <c r="BU17" i="79"/>
  <c r="BV17" i="79"/>
  <c r="BW17" i="79"/>
  <c r="BT18" i="79"/>
  <c r="BU18" i="79"/>
  <c r="BV18" i="79"/>
  <c r="BW18" i="79"/>
  <c r="BT19" i="79"/>
  <c r="BU19" i="79"/>
  <c r="BV19" i="79"/>
  <c r="BW19" i="79"/>
  <c r="BT20" i="79"/>
  <c r="BU20" i="79"/>
  <c r="BV20" i="79"/>
  <c r="BW20" i="79"/>
  <c r="BT21" i="79"/>
  <c r="BU21" i="79"/>
  <c r="BV21" i="79"/>
  <c r="BW21" i="79"/>
  <c r="BT22" i="79"/>
  <c r="BU22" i="79"/>
  <c r="BV22" i="79"/>
  <c r="BW22" i="79"/>
  <c r="BT23" i="79"/>
  <c r="BU23" i="79"/>
  <c r="BV23" i="79"/>
  <c r="BW23" i="79"/>
  <c r="BT24" i="79"/>
  <c r="BU24" i="79"/>
  <c r="BV24" i="79"/>
  <c r="BW24" i="79"/>
  <c r="BT25" i="79"/>
  <c r="BU25" i="79"/>
  <c r="BV25" i="79"/>
  <c r="BW25" i="79"/>
  <c r="BT26" i="79"/>
  <c r="BU26" i="79"/>
  <c r="BV26" i="79"/>
  <c r="BW26" i="79"/>
  <c r="BT27" i="79"/>
  <c r="BU27" i="79"/>
  <c r="BV27" i="79"/>
  <c r="BW27" i="79"/>
  <c r="BT28" i="79"/>
  <c r="BU28" i="79"/>
  <c r="BV28" i="79"/>
  <c r="BW28" i="79"/>
  <c r="BT29" i="79"/>
  <c r="BU29" i="79"/>
  <c r="BV29" i="79"/>
  <c r="BW29" i="79"/>
  <c r="BT30" i="79"/>
  <c r="BU30" i="79"/>
  <c r="BV30" i="79"/>
  <c r="BW30" i="79"/>
  <c r="BT31" i="79"/>
  <c r="BU31" i="79"/>
  <c r="BV31" i="79"/>
  <c r="BW31" i="79"/>
  <c r="BT32" i="79"/>
  <c r="BU32" i="79"/>
  <c r="BV32" i="79"/>
  <c r="BW32" i="79"/>
  <c r="BT33" i="79"/>
  <c r="BU33" i="79"/>
  <c r="BV33" i="79"/>
  <c r="BW33" i="79"/>
  <c r="BT34" i="79"/>
  <c r="BU34" i="79"/>
  <c r="BV34" i="79"/>
  <c r="BW34" i="79"/>
  <c r="BT35" i="79"/>
  <c r="BU35" i="79"/>
  <c r="BV35" i="79"/>
  <c r="BW35" i="79"/>
  <c r="BT36" i="79"/>
  <c r="BU36" i="79"/>
  <c r="BV36" i="79"/>
  <c r="BW36" i="79"/>
  <c r="BT37" i="79"/>
  <c r="BU37" i="79"/>
  <c r="BV37" i="79"/>
  <c r="BW37" i="79"/>
  <c r="BT38" i="79"/>
  <c r="BU38" i="79"/>
  <c r="BV38" i="79"/>
  <c r="BW38" i="79"/>
  <c r="BT39" i="79"/>
  <c r="BU39" i="79"/>
  <c r="BV39" i="79"/>
  <c r="BW39" i="79"/>
  <c r="BT40" i="79"/>
  <c r="BU40" i="79"/>
  <c r="BV40" i="79"/>
  <c r="BW40" i="79"/>
  <c r="BT41" i="79"/>
  <c r="BU41" i="79"/>
  <c r="BV41" i="79"/>
  <c r="BW41" i="79"/>
  <c r="BT42" i="79"/>
  <c r="BU42" i="79"/>
  <c r="BV42" i="79"/>
  <c r="BW42" i="79"/>
  <c r="BT43" i="79"/>
  <c r="BU43" i="79"/>
  <c r="BV43" i="79"/>
  <c r="BW43" i="79"/>
  <c r="BT44" i="79"/>
  <c r="BU44" i="79"/>
  <c r="BV44" i="79"/>
  <c r="BW44" i="79"/>
  <c r="BT45" i="79"/>
  <c r="BU45" i="79"/>
  <c r="BV45" i="79"/>
  <c r="BW45" i="79"/>
  <c r="BT46" i="79"/>
  <c r="BU46" i="79"/>
  <c r="BV46" i="79"/>
  <c r="BW46" i="79"/>
  <c r="BT47" i="79"/>
  <c r="BU47" i="79"/>
  <c r="BV47" i="79"/>
  <c r="BW47" i="79"/>
  <c r="BT48" i="79"/>
  <c r="BU48" i="79"/>
  <c r="BV48" i="79"/>
  <c r="BW48" i="79"/>
  <c r="BT49" i="79"/>
  <c r="BU49" i="79"/>
  <c r="BV49" i="79"/>
  <c r="BW49" i="79"/>
  <c r="BT50" i="79"/>
  <c r="BU50" i="79"/>
  <c r="BV50" i="79"/>
  <c r="BW50" i="79"/>
  <c r="BT51" i="79"/>
  <c r="BU51" i="79"/>
  <c r="BV51" i="79"/>
  <c r="BW51" i="79"/>
  <c r="BT52" i="79"/>
  <c r="BU52" i="79"/>
  <c r="BV52" i="79"/>
  <c r="BW52" i="79"/>
  <c r="BT53" i="79"/>
  <c r="BU53" i="79"/>
  <c r="BV53" i="79"/>
  <c r="BW53" i="79"/>
  <c r="BT54" i="79"/>
  <c r="BU54" i="79"/>
  <c r="BV54" i="79"/>
  <c r="BW54" i="79"/>
  <c r="BT55" i="79"/>
  <c r="BU55" i="79"/>
  <c r="BV55" i="79"/>
  <c r="BW55" i="79"/>
  <c r="BT56" i="79"/>
  <c r="BU56" i="79"/>
  <c r="BV56" i="79"/>
  <c r="BW56" i="79"/>
  <c r="BT57" i="79"/>
  <c r="BU57" i="79"/>
  <c r="BV57" i="79"/>
  <c r="BW57" i="79"/>
  <c r="BT58" i="79"/>
  <c r="BU58" i="79"/>
  <c r="BV58" i="79"/>
  <c r="BW58" i="79"/>
  <c r="BT59" i="79"/>
  <c r="BU59" i="79"/>
  <c r="BV59" i="79"/>
  <c r="BW59" i="79"/>
  <c r="BT60" i="79"/>
  <c r="BU60" i="79"/>
  <c r="BV60" i="79"/>
  <c r="BW60" i="79"/>
  <c r="BT61" i="79"/>
  <c r="BU61" i="79"/>
  <c r="BV61" i="79"/>
  <c r="BW61" i="79"/>
  <c r="BT62" i="79"/>
  <c r="BU62" i="79"/>
  <c r="BV62" i="79"/>
  <c r="BW62" i="79"/>
  <c r="BT63" i="79"/>
  <c r="BU63" i="79"/>
  <c r="BV63" i="79"/>
  <c r="BW63" i="79"/>
  <c r="BT64" i="79"/>
  <c r="BU64" i="79"/>
  <c r="BV64" i="79"/>
  <c r="BW64" i="79"/>
  <c r="BT65" i="79"/>
  <c r="BU65" i="79"/>
  <c r="BV65" i="79"/>
  <c r="BW65" i="79"/>
  <c r="BT66" i="79"/>
  <c r="BU66" i="79"/>
  <c r="BV66" i="79"/>
  <c r="BW66" i="79"/>
  <c r="BT67" i="79"/>
  <c r="BU67" i="79"/>
  <c r="BV67" i="79"/>
  <c r="BW67" i="79"/>
  <c r="BT68" i="79"/>
  <c r="BU68" i="79"/>
  <c r="BV68" i="79"/>
  <c r="BW68" i="79"/>
  <c r="BT69" i="79"/>
  <c r="BU69" i="79"/>
  <c r="BV69" i="79"/>
  <c r="BW69" i="79"/>
  <c r="BT70" i="79"/>
  <c r="BU70" i="79"/>
  <c r="BV70" i="79"/>
  <c r="BW70" i="79"/>
  <c r="BT71" i="79"/>
  <c r="BU71" i="79"/>
  <c r="BV71" i="79"/>
  <c r="BW71" i="79"/>
  <c r="BT72" i="79"/>
  <c r="BU72" i="79"/>
  <c r="BV72" i="79"/>
  <c r="BW72" i="79"/>
  <c r="BT73" i="79"/>
  <c r="BU73" i="79"/>
  <c r="BV73" i="79"/>
  <c r="BW73" i="79"/>
  <c r="BT74" i="79"/>
  <c r="BU74" i="79"/>
  <c r="BV74" i="79"/>
  <c r="BW74" i="79"/>
  <c r="BT75" i="79"/>
  <c r="BU75" i="79"/>
  <c r="BV75" i="79"/>
  <c r="BW75" i="79"/>
  <c r="BT76" i="79"/>
  <c r="BU76" i="79"/>
  <c r="BV76" i="79"/>
  <c r="BW76" i="79"/>
  <c r="BT77" i="79"/>
  <c r="BU77" i="79"/>
  <c r="BV77" i="79"/>
  <c r="BW77" i="79"/>
  <c r="BT78" i="79"/>
  <c r="BU78" i="79"/>
  <c r="BV78" i="79"/>
  <c r="BW78" i="79"/>
  <c r="BT79" i="79"/>
  <c r="BU79" i="79"/>
  <c r="BV79" i="79"/>
  <c r="BW79" i="79"/>
  <c r="BT80" i="79"/>
  <c r="BU80" i="79"/>
  <c r="BV80" i="79"/>
  <c r="BW80" i="79"/>
  <c r="BT81" i="79"/>
  <c r="BU81" i="79"/>
  <c r="BV81" i="79"/>
  <c r="BW81" i="79"/>
  <c r="BT82" i="79"/>
  <c r="BU82" i="79"/>
  <c r="BV82" i="79"/>
  <c r="BW82" i="79"/>
  <c r="BT83" i="79"/>
  <c r="BU83" i="79"/>
  <c r="BV83" i="79"/>
  <c r="BW83" i="79"/>
  <c r="BT84" i="79"/>
  <c r="BU84" i="79"/>
  <c r="BV84" i="79"/>
  <c r="BW84" i="79"/>
  <c r="BT85" i="79"/>
  <c r="BU85" i="79"/>
  <c r="BV85" i="79"/>
  <c r="BW85" i="79"/>
  <c r="BT86" i="79"/>
  <c r="BU86" i="79"/>
  <c r="BV86" i="79"/>
  <c r="BW86" i="79"/>
  <c r="BT87" i="79"/>
  <c r="BU87" i="79"/>
  <c r="BV87" i="79"/>
  <c r="BW87" i="79"/>
  <c r="BT88" i="79"/>
  <c r="BU88" i="79"/>
  <c r="BV88" i="79"/>
  <c r="BW88" i="79"/>
  <c r="BT89" i="79"/>
  <c r="BU89" i="79"/>
  <c r="BV89" i="79"/>
  <c r="BW89" i="79"/>
  <c r="BT90" i="79"/>
  <c r="BU90" i="79"/>
  <c r="BV90" i="79"/>
  <c r="BW90" i="79"/>
  <c r="BT91" i="79"/>
  <c r="BU91" i="79"/>
  <c r="BV91" i="79"/>
  <c r="BW91" i="79"/>
  <c r="BT92" i="79"/>
  <c r="BU92" i="79"/>
  <c r="BV92" i="79"/>
  <c r="BW92" i="79"/>
  <c r="BT93" i="79"/>
  <c r="BU93" i="79"/>
  <c r="BV93" i="79"/>
  <c r="BW93" i="79"/>
  <c r="BT94" i="79"/>
  <c r="BU94" i="79"/>
  <c r="BV94" i="79"/>
  <c r="BW94" i="79"/>
  <c r="BT96" i="79"/>
  <c r="BU96" i="79"/>
  <c r="BV96" i="79"/>
  <c r="BW96" i="79"/>
  <c r="BT97" i="79"/>
  <c r="BU97" i="79"/>
  <c r="BV97" i="79"/>
  <c r="BW97" i="79"/>
  <c r="BT98" i="79"/>
  <c r="BU98" i="79"/>
  <c r="BV98" i="79"/>
  <c r="BW98" i="79"/>
  <c r="BT99" i="79"/>
  <c r="BU99" i="79"/>
  <c r="BV99" i="79"/>
  <c r="BW99" i="79"/>
  <c r="BU10" i="79"/>
  <c r="BV10" i="79"/>
  <c r="BW10" i="79"/>
  <c r="BT10" i="79"/>
  <c r="BS101" i="79"/>
  <c r="BR101" i="79"/>
  <c r="BP101" i="79"/>
  <c r="BO101" i="79"/>
  <c r="BN101" i="79"/>
  <c r="BL101" i="79"/>
  <c r="BK101" i="79"/>
  <c r="BJ101" i="79"/>
  <c r="BH101" i="79"/>
  <c r="BG101" i="79"/>
  <c r="BF101" i="79"/>
  <c r="BD101" i="79"/>
  <c r="BC101" i="79"/>
  <c r="BB101" i="79"/>
  <c r="AZ101" i="79"/>
  <c r="AY101" i="79"/>
  <c r="AX101" i="79"/>
  <c r="AV101" i="79"/>
  <c r="AU101" i="79"/>
  <c r="AT101" i="79"/>
  <c r="AR101" i="79"/>
  <c r="AQ101" i="79"/>
  <c r="AP101" i="79"/>
  <c r="AN101" i="79"/>
  <c r="AM101" i="79"/>
  <c r="AL101" i="79"/>
  <c r="AJ101" i="79"/>
  <c r="AI101" i="79"/>
  <c r="AH101" i="79"/>
  <c r="AF101" i="79"/>
  <c r="AE101" i="79"/>
  <c r="AD101" i="79"/>
  <c r="AB101" i="79"/>
  <c r="AA101" i="79"/>
  <c r="Z101" i="79"/>
  <c r="X101" i="79"/>
  <c r="W101" i="79"/>
  <c r="V101" i="79"/>
  <c r="T101" i="79"/>
  <c r="S101" i="79"/>
  <c r="R101" i="79"/>
  <c r="P101" i="79"/>
  <c r="O101" i="79"/>
  <c r="N101" i="79"/>
  <c r="L101" i="79"/>
  <c r="K101" i="79"/>
  <c r="J101" i="79"/>
  <c r="H101" i="79"/>
  <c r="BS99" i="79"/>
  <c r="BS98" i="79"/>
  <c r="BS97" i="79"/>
  <c r="BS96" i="79"/>
  <c r="BS94" i="79"/>
  <c r="BS93" i="79"/>
  <c r="BS92" i="79"/>
  <c r="BS91" i="79"/>
  <c r="BS90" i="79"/>
  <c r="BS89" i="79"/>
  <c r="BS88" i="79"/>
  <c r="BS87" i="79"/>
  <c r="BS86" i="79"/>
  <c r="BS85" i="79"/>
  <c r="BS84" i="79"/>
  <c r="BS83" i="79"/>
  <c r="BS82" i="79"/>
  <c r="BS81" i="79"/>
  <c r="BS80" i="79"/>
  <c r="BS79" i="79"/>
  <c r="BS78" i="79"/>
  <c r="BS77" i="79"/>
  <c r="BS76" i="79"/>
  <c r="BS75" i="79"/>
  <c r="BS74" i="79"/>
  <c r="BS73" i="79"/>
  <c r="BS72" i="79"/>
  <c r="BS71" i="79"/>
  <c r="BS70" i="79"/>
  <c r="BS69" i="79"/>
  <c r="BS68" i="79"/>
  <c r="BS67" i="79"/>
  <c r="BS66" i="79"/>
  <c r="BS65" i="79"/>
  <c r="BS64" i="79"/>
  <c r="BS63" i="79"/>
  <c r="BS62" i="79"/>
  <c r="BS61" i="79"/>
  <c r="BS60" i="79"/>
  <c r="BS59" i="79"/>
  <c r="BS58" i="79"/>
  <c r="BS57" i="79"/>
  <c r="BS56" i="79"/>
  <c r="BS55" i="79"/>
  <c r="BS54" i="79"/>
  <c r="BS53" i="79"/>
  <c r="BS52" i="79"/>
  <c r="BS51" i="79"/>
  <c r="BS50" i="79"/>
  <c r="BS49" i="79"/>
  <c r="BS48" i="79"/>
  <c r="BS47" i="79"/>
  <c r="BS46" i="79"/>
  <c r="BS45" i="79"/>
  <c r="BS44" i="79"/>
  <c r="BS43" i="79"/>
  <c r="BS42" i="79"/>
  <c r="BS41" i="79"/>
  <c r="BS40" i="79"/>
  <c r="BS39" i="79"/>
  <c r="BS38" i="79"/>
  <c r="BS37" i="79"/>
  <c r="BS36" i="79"/>
  <c r="BS35" i="79"/>
  <c r="BS34" i="79"/>
  <c r="BS33" i="79"/>
  <c r="BS32" i="79"/>
  <c r="BS31" i="79"/>
  <c r="BS30" i="79"/>
  <c r="BS29" i="79"/>
  <c r="BS28" i="79"/>
  <c r="BS27" i="79"/>
  <c r="BS26" i="79"/>
  <c r="BS25" i="79"/>
  <c r="BS24" i="79"/>
  <c r="BS23" i="79"/>
  <c r="BS22" i="79"/>
  <c r="BS21" i="79"/>
  <c r="BS20" i="79"/>
  <c r="BS19" i="79"/>
  <c r="BS18" i="79"/>
  <c r="BS17" i="79"/>
  <c r="BS16" i="79"/>
  <c r="BS15" i="79"/>
  <c r="BS14" i="79"/>
  <c r="BS13" i="79"/>
  <c r="BS12" i="79"/>
  <c r="BS11" i="79"/>
  <c r="BS10" i="79"/>
  <c r="BO99" i="79"/>
  <c r="BO98" i="79"/>
  <c r="BO97" i="79"/>
  <c r="BO96" i="79"/>
  <c r="BO94" i="79"/>
  <c r="BO93" i="79"/>
  <c r="BO92" i="79"/>
  <c r="BO91" i="79"/>
  <c r="BO90" i="79"/>
  <c r="BO89" i="79"/>
  <c r="BO88" i="79"/>
  <c r="BO87" i="79"/>
  <c r="BO86" i="79"/>
  <c r="BO85" i="79"/>
  <c r="BO84" i="79"/>
  <c r="BO83" i="79"/>
  <c r="BO82" i="79"/>
  <c r="BO81" i="79"/>
  <c r="BO80" i="79"/>
  <c r="BO79" i="79"/>
  <c r="BO78" i="79"/>
  <c r="BO77" i="79"/>
  <c r="BO76" i="79"/>
  <c r="BO75" i="79"/>
  <c r="BO74" i="79"/>
  <c r="BO73" i="79"/>
  <c r="BO72" i="79"/>
  <c r="BO71" i="79"/>
  <c r="BO70" i="79"/>
  <c r="BO69" i="79"/>
  <c r="BO68" i="79"/>
  <c r="BO67" i="79"/>
  <c r="BO66" i="79"/>
  <c r="BO65" i="79"/>
  <c r="BO64" i="79"/>
  <c r="BO63" i="79"/>
  <c r="BO62" i="79"/>
  <c r="BO61" i="79"/>
  <c r="BO60" i="79"/>
  <c r="BO59" i="79"/>
  <c r="BO58" i="79"/>
  <c r="BO57" i="79"/>
  <c r="BO56" i="79"/>
  <c r="BO55" i="79"/>
  <c r="BO54" i="79"/>
  <c r="BO53" i="79"/>
  <c r="BO52" i="79"/>
  <c r="BO51" i="79"/>
  <c r="BO50" i="79"/>
  <c r="BO49" i="79"/>
  <c r="BO48" i="79"/>
  <c r="BO47" i="79"/>
  <c r="BO46" i="79"/>
  <c r="BO45" i="79"/>
  <c r="BO44" i="79"/>
  <c r="BO43" i="79"/>
  <c r="BO42" i="79"/>
  <c r="BO41" i="79"/>
  <c r="BO40" i="79"/>
  <c r="BO39" i="79"/>
  <c r="BO38" i="79"/>
  <c r="BO37" i="79"/>
  <c r="BO36" i="79"/>
  <c r="BO35" i="79"/>
  <c r="BO34" i="79"/>
  <c r="BO33" i="79"/>
  <c r="BO32" i="79"/>
  <c r="BO31" i="79"/>
  <c r="BO30" i="79"/>
  <c r="BO29" i="79"/>
  <c r="BO28" i="79"/>
  <c r="BO27" i="79"/>
  <c r="BO26" i="79"/>
  <c r="BO25" i="79"/>
  <c r="BO24" i="79"/>
  <c r="BO23" i="79"/>
  <c r="BO22" i="79"/>
  <c r="BO21" i="79"/>
  <c r="BO20" i="79"/>
  <c r="BO19" i="79"/>
  <c r="BO18" i="79"/>
  <c r="BO17" i="79"/>
  <c r="BO16" i="79"/>
  <c r="BO15" i="79"/>
  <c r="BO14" i="79"/>
  <c r="BO13" i="79"/>
  <c r="BO12" i="79"/>
  <c r="BO11" i="79"/>
  <c r="BO10" i="79"/>
  <c r="BK99" i="79"/>
  <c r="BK98" i="79"/>
  <c r="BK97" i="79"/>
  <c r="BK96" i="79"/>
  <c r="BK94" i="79"/>
  <c r="BK93" i="79"/>
  <c r="BK92" i="79"/>
  <c r="BK91" i="79"/>
  <c r="BK90" i="79"/>
  <c r="BK89" i="79"/>
  <c r="BK88" i="79"/>
  <c r="BK87" i="79"/>
  <c r="BK86" i="79"/>
  <c r="BK85" i="79"/>
  <c r="BK84" i="79"/>
  <c r="BK83" i="79"/>
  <c r="BK82" i="79"/>
  <c r="BK81" i="79"/>
  <c r="BK80" i="79"/>
  <c r="BK79" i="79"/>
  <c r="BK78" i="79"/>
  <c r="BK77" i="79"/>
  <c r="BK76" i="79"/>
  <c r="BK75" i="79"/>
  <c r="BK74" i="79"/>
  <c r="BK73" i="79"/>
  <c r="BK72" i="79"/>
  <c r="BK71" i="79"/>
  <c r="BK70" i="79"/>
  <c r="BK69" i="79"/>
  <c r="BK68" i="79"/>
  <c r="BK67" i="79"/>
  <c r="BK66" i="79"/>
  <c r="BK65" i="79"/>
  <c r="BK64" i="79"/>
  <c r="BK63" i="79"/>
  <c r="BK62" i="79"/>
  <c r="BK61" i="79"/>
  <c r="BK60" i="79"/>
  <c r="BK59" i="79"/>
  <c r="BK58" i="79"/>
  <c r="BK57" i="79"/>
  <c r="BK56" i="79"/>
  <c r="BK55" i="79"/>
  <c r="BK54" i="79"/>
  <c r="BK53" i="79"/>
  <c r="BK52" i="79"/>
  <c r="BK51" i="79"/>
  <c r="BK50" i="79"/>
  <c r="BK49" i="79"/>
  <c r="BK48" i="79"/>
  <c r="BK47" i="79"/>
  <c r="BK46" i="79"/>
  <c r="BK45" i="79"/>
  <c r="BK44" i="79"/>
  <c r="BK43" i="79"/>
  <c r="BK42" i="79"/>
  <c r="BK41" i="79"/>
  <c r="BK40" i="79"/>
  <c r="BK39" i="79"/>
  <c r="BK38" i="79"/>
  <c r="BK37" i="79"/>
  <c r="BK36" i="79"/>
  <c r="BK35" i="79"/>
  <c r="BK34" i="79"/>
  <c r="BK33" i="79"/>
  <c r="BK32" i="79"/>
  <c r="BK31" i="79"/>
  <c r="BK30" i="79"/>
  <c r="BK29" i="79"/>
  <c r="BK28" i="79"/>
  <c r="BK27" i="79"/>
  <c r="BK26" i="79"/>
  <c r="BK25" i="79"/>
  <c r="BK24" i="79"/>
  <c r="BK23" i="79"/>
  <c r="BK22" i="79"/>
  <c r="BK21" i="79"/>
  <c r="BK20" i="79"/>
  <c r="BK19" i="79"/>
  <c r="BK18" i="79"/>
  <c r="BK17" i="79"/>
  <c r="BK16" i="79"/>
  <c r="BK15" i="79"/>
  <c r="BK14" i="79"/>
  <c r="BK13" i="79"/>
  <c r="BK12" i="79"/>
  <c r="BK11" i="79"/>
  <c r="BK10" i="79"/>
  <c r="BG99" i="79"/>
  <c r="BG98" i="79"/>
  <c r="BG97" i="79"/>
  <c r="BG96" i="79"/>
  <c r="BG94" i="79"/>
  <c r="BG93" i="79"/>
  <c r="BG92" i="79"/>
  <c r="BG91" i="79"/>
  <c r="BG90" i="79"/>
  <c r="BG89" i="79"/>
  <c r="BG88" i="79"/>
  <c r="BG87" i="79"/>
  <c r="BG86" i="79"/>
  <c r="BG85" i="79"/>
  <c r="BG84" i="79"/>
  <c r="BG83" i="79"/>
  <c r="BG82" i="79"/>
  <c r="BG81" i="79"/>
  <c r="BG80" i="79"/>
  <c r="BG79" i="79"/>
  <c r="BG78" i="79"/>
  <c r="BG77" i="79"/>
  <c r="BG76" i="79"/>
  <c r="BG75" i="79"/>
  <c r="BG74" i="79"/>
  <c r="BG73" i="79"/>
  <c r="BG72" i="79"/>
  <c r="BG71" i="79"/>
  <c r="BG70" i="79"/>
  <c r="BG69" i="79"/>
  <c r="BG68" i="79"/>
  <c r="BG67" i="79"/>
  <c r="BG66" i="79"/>
  <c r="BG65" i="79"/>
  <c r="BG64" i="79"/>
  <c r="BG63" i="79"/>
  <c r="BG62" i="79"/>
  <c r="BG61" i="79"/>
  <c r="BG60" i="79"/>
  <c r="BG59" i="79"/>
  <c r="BG58" i="79"/>
  <c r="BG57" i="79"/>
  <c r="BG56" i="79"/>
  <c r="BG55" i="79"/>
  <c r="BG54" i="79"/>
  <c r="BG53" i="79"/>
  <c r="BG52" i="79"/>
  <c r="BG51" i="79"/>
  <c r="BG50" i="79"/>
  <c r="BG49" i="79"/>
  <c r="BG48" i="79"/>
  <c r="BG47" i="79"/>
  <c r="BG46" i="79"/>
  <c r="BG45" i="79"/>
  <c r="BG44" i="79"/>
  <c r="BG43" i="79"/>
  <c r="BG42" i="79"/>
  <c r="BG41" i="79"/>
  <c r="BG40" i="79"/>
  <c r="BG39" i="79"/>
  <c r="BG38" i="79"/>
  <c r="BG37" i="79"/>
  <c r="BG36" i="79"/>
  <c r="BG35" i="79"/>
  <c r="BG34" i="79"/>
  <c r="BG33" i="79"/>
  <c r="BG32" i="79"/>
  <c r="BG31" i="79"/>
  <c r="BG30" i="79"/>
  <c r="BG29" i="79"/>
  <c r="BG28" i="79"/>
  <c r="BG27" i="79"/>
  <c r="BG26" i="79"/>
  <c r="BG25" i="79"/>
  <c r="BG24" i="79"/>
  <c r="BG23" i="79"/>
  <c r="BG22" i="79"/>
  <c r="BG21" i="79"/>
  <c r="BG20" i="79"/>
  <c r="BG19" i="79"/>
  <c r="BG18" i="79"/>
  <c r="BG17" i="79"/>
  <c r="BG16" i="79"/>
  <c r="BG15" i="79"/>
  <c r="BG14" i="79"/>
  <c r="BG13" i="79"/>
  <c r="BG12" i="79"/>
  <c r="BG11" i="79"/>
  <c r="BG10" i="79"/>
  <c r="BC99" i="79"/>
  <c r="BC98" i="79"/>
  <c r="BC97" i="79"/>
  <c r="BC96" i="79"/>
  <c r="BC94" i="79"/>
  <c r="BC93" i="79"/>
  <c r="BC92" i="79"/>
  <c r="BC91" i="79"/>
  <c r="BC90" i="79"/>
  <c r="BC89" i="79"/>
  <c r="BC88" i="79"/>
  <c r="BC87" i="79"/>
  <c r="BC86" i="79"/>
  <c r="BC85" i="79"/>
  <c r="BC84" i="79"/>
  <c r="BC83" i="79"/>
  <c r="BC82" i="79"/>
  <c r="BC81" i="79"/>
  <c r="BC80" i="79"/>
  <c r="BC79" i="79"/>
  <c r="BC78" i="79"/>
  <c r="BC77" i="79"/>
  <c r="BC76" i="79"/>
  <c r="BC75" i="79"/>
  <c r="BC74" i="79"/>
  <c r="BC73" i="79"/>
  <c r="BC72" i="79"/>
  <c r="BC71" i="79"/>
  <c r="BC70" i="79"/>
  <c r="BC69" i="79"/>
  <c r="BC68" i="79"/>
  <c r="BC67" i="79"/>
  <c r="BC66" i="79"/>
  <c r="BC65" i="79"/>
  <c r="BC64" i="79"/>
  <c r="BC63" i="79"/>
  <c r="BC62" i="79"/>
  <c r="BC61" i="79"/>
  <c r="BC60" i="79"/>
  <c r="BC59" i="79"/>
  <c r="BC58" i="79"/>
  <c r="BC57" i="79"/>
  <c r="BC56" i="79"/>
  <c r="BC55" i="79"/>
  <c r="BC54" i="79"/>
  <c r="BC53" i="79"/>
  <c r="BC52" i="79"/>
  <c r="BC51" i="79"/>
  <c r="BC50" i="79"/>
  <c r="BC49" i="79"/>
  <c r="BC48" i="79"/>
  <c r="BC47" i="79"/>
  <c r="BC46" i="79"/>
  <c r="BC45" i="79"/>
  <c r="BC44" i="79"/>
  <c r="BC43" i="79"/>
  <c r="BC42" i="79"/>
  <c r="BC41" i="79"/>
  <c r="BC40" i="79"/>
  <c r="BC39" i="79"/>
  <c r="BC38" i="79"/>
  <c r="BC37" i="79"/>
  <c r="BC36" i="79"/>
  <c r="BC35" i="79"/>
  <c r="BC34" i="79"/>
  <c r="BC33" i="79"/>
  <c r="BC32" i="79"/>
  <c r="BC31" i="79"/>
  <c r="BC30" i="79"/>
  <c r="BC29" i="79"/>
  <c r="BC28" i="79"/>
  <c r="BC27" i="79"/>
  <c r="BC26" i="79"/>
  <c r="BC25" i="79"/>
  <c r="BC24" i="79"/>
  <c r="BC23" i="79"/>
  <c r="BC22" i="79"/>
  <c r="BC21" i="79"/>
  <c r="BC20" i="79"/>
  <c r="BC19" i="79"/>
  <c r="BC18" i="79"/>
  <c r="BC17" i="79"/>
  <c r="BC16" i="79"/>
  <c r="BC15" i="79"/>
  <c r="BC14" i="79"/>
  <c r="BC13" i="79"/>
  <c r="BC12" i="79"/>
  <c r="BC11" i="79"/>
  <c r="BC10" i="79"/>
  <c r="AY99" i="79"/>
  <c r="AY98" i="79"/>
  <c r="AY97" i="79"/>
  <c r="AY96" i="79"/>
  <c r="AY94" i="79"/>
  <c r="AY93" i="79"/>
  <c r="AY92" i="79"/>
  <c r="AY91" i="79"/>
  <c r="AY90" i="79"/>
  <c r="AY89" i="79"/>
  <c r="AY88" i="79"/>
  <c r="AY87" i="79"/>
  <c r="AY86" i="79"/>
  <c r="AY85" i="79"/>
  <c r="AY84" i="79"/>
  <c r="AY83" i="79"/>
  <c r="AY82" i="79"/>
  <c r="AY81" i="79"/>
  <c r="AY80" i="79"/>
  <c r="AY79" i="79"/>
  <c r="AY78" i="79"/>
  <c r="AY77" i="79"/>
  <c r="AY76" i="79"/>
  <c r="AY75" i="79"/>
  <c r="AY74" i="79"/>
  <c r="AY73" i="79"/>
  <c r="AY72" i="79"/>
  <c r="AY71" i="79"/>
  <c r="AY70" i="79"/>
  <c r="AY69" i="79"/>
  <c r="AY68" i="79"/>
  <c r="AY67" i="79"/>
  <c r="AY66" i="79"/>
  <c r="AY65" i="79"/>
  <c r="AY64" i="79"/>
  <c r="AY63" i="79"/>
  <c r="AY62" i="79"/>
  <c r="AY61" i="79"/>
  <c r="AY60" i="79"/>
  <c r="AY59" i="79"/>
  <c r="AY58" i="79"/>
  <c r="AY57" i="79"/>
  <c r="AY56" i="79"/>
  <c r="AY55" i="79"/>
  <c r="AY54" i="79"/>
  <c r="AY53" i="79"/>
  <c r="AY52" i="79"/>
  <c r="AY51" i="79"/>
  <c r="AY50" i="79"/>
  <c r="AY49" i="79"/>
  <c r="AY48" i="79"/>
  <c r="AY47" i="79"/>
  <c r="AY46" i="79"/>
  <c r="AY45" i="79"/>
  <c r="AY44" i="79"/>
  <c r="AY43" i="79"/>
  <c r="AY42" i="79"/>
  <c r="AY41" i="79"/>
  <c r="AY40" i="79"/>
  <c r="AY39" i="79"/>
  <c r="AY38" i="79"/>
  <c r="AY37" i="79"/>
  <c r="AY36" i="79"/>
  <c r="AY35" i="79"/>
  <c r="AY34" i="79"/>
  <c r="AY33" i="79"/>
  <c r="AY32" i="79"/>
  <c r="AY31" i="79"/>
  <c r="AY30" i="79"/>
  <c r="AY29" i="79"/>
  <c r="AY28" i="79"/>
  <c r="AY27" i="79"/>
  <c r="AY26" i="79"/>
  <c r="AY25" i="79"/>
  <c r="AY24" i="79"/>
  <c r="AY23" i="79"/>
  <c r="AY22" i="79"/>
  <c r="AY21" i="79"/>
  <c r="AY20" i="79"/>
  <c r="AY19" i="79"/>
  <c r="AY18" i="79"/>
  <c r="AY17" i="79"/>
  <c r="AY16" i="79"/>
  <c r="AY15" i="79"/>
  <c r="AY14" i="79"/>
  <c r="AY13" i="79"/>
  <c r="AY12" i="79"/>
  <c r="AY11" i="79"/>
  <c r="AY10" i="79"/>
  <c r="AU99" i="79"/>
  <c r="AU98" i="79"/>
  <c r="AU97" i="79"/>
  <c r="AU96" i="79"/>
  <c r="AU94" i="79"/>
  <c r="AU93" i="79"/>
  <c r="AU92" i="79"/>
  <c r="AU91" i="79"/>
  <c r="AU90" i="79"/>
  <c r="AU89" i="79"/>
  <c r="AU88" i="79"/>
  <c r="AU87" i="79"/>
  <c r="AU86" i="79"/>
  <c r="AU85" i="79"/>
  <c r="AU84" i="79"/>
  <c r="AU83" i="79"/>
  <c r="AU82" i="79"/>
  <c r="AU81" i="79"/>
  <c r="AU80" i="79"/>
  <c r="AU79" i="79"/>
  <c r="AU78" i="79"/>
  <c r="AU77" i="79"/>
  <c r="AU76" i="79"/>
  <c r="AU75" i="79"/>
  <c r="AU74" i="79"/>
  <c r="AU73" i="79"/>
  <c r="AU72" i="79"/>
  <c r="AU71" i="79"/>
  <c r="AU70" i="79"/>
  <c r="AU69" i="79"/>
  <c r="AU68" i="79"/>
  <c r="AU67" i="79"/>
  <c r="AU66" i="79"/>
  <c r="AU65" i="79"/>
  <c r="AU64" i="79"/>
  <c r="AU63" i="79"/>
  <c r="AU62" i="79"/>
  <c r="AU61" i="79"/>
  <c r="AU60" i="79"/>
  <c r="AU59" i="79"/>
  <c r="AU58" i="79"/>
  <c r="AU57" i="79"/>
  <c r="AU56" i="79"/>
  <c r="AU55" i="79"/>
  <c r="AU54" i="79"/>
  <c r="AU53" i="79"/>
  <c r="AU52" i="79"/>
  <c r="AU51" i="79"/>
  <c r="AU50" i="79"/>
  <c r="AU49" i="79"/>
  <c r="AU48" i="79"/>
  <c r="AU47" i="79"/>
  <c r="AU46" i="79"/>
  <c r="AU45" i="79"/>
  <c r="AU44" i="79"/>
  <c r="AU43" i="79"/>
  <c r="AU42" i="79"/>
  <c r="AU41" i="79"/>
  <c r="AU40" i="79"/>
  <c r="AU39" i="79"/>
  <c r="AU38" i="79"/>
  <c r="AU37" i="79"/>
  <c r="AU36" i="79"/>
  <c r="AU35" i="79"/>
  <c r="AU34" i="79"/>
  <c r="AU33" i="79"/>
  <c r="AU32" i="79"/>
  <c r="AU31" i="79"/>
  <c r="AU30" i="79"/>
  <c r="AU29" i="79"/>
  <c r="AU28" i="79"/>
  <c r="AU27" i="79"/>
  <c r="AU26" i="79"/>
  <c r="AU25" i="79"/>
  <c r="AU24" i="79"/>
  <c r="AU23" i="79"/>
  <c r="AU22" i="79"/>
  <c r="AU21" i="79"/>
  <c r="AU20" i="79"/>
  <c r="AU19" i="79"/>
  <c r="AU18" i="79"/>
  <c r="AU17" i="79"/>
  <c r="AU16" i="79"/>
  <c r="AU15" i="79"/>
  <c r="AU14" i="79"/>
  <c r="AU13" i="79"/>
  <c r="AU12" i="79"/>
  <c r="AU11" i="79"/>
  <c r="AU10" i="79"/>
  <c r="AQ99" i="79"/>
  <c r="AQ98" i="79"/>
  <c r="AQ97" i="79"/>
  <c r="AQ96" i="79"/>
  <c r="AQ94" i="79"/>
  <c r="AQ93" i="79"/>
  <c r="AQ92" i="79"/>
  <c r="AQ91" i="79"/>
  <c r="AQ90" i="79"/>
  <c r="AQ89" i="79"/>
  <c r="AQ88" i="79"/>
  <c r="AQ87" i="79"/>
  <c r="AQ86" i="79"/>
  <c r="AQ85" i="79"/>
  <c r="AQ84" i="79"/>
  <c r="AQ83" i="79"/>
  <c r="AQ82" i="79"/>
  <c r="AQ81" i="79"/>
  <c r="AQ80" i="79"/>
  <c r="AQ79" i="79"/>
  <c r="AQ78" i="79"/>
  <c r="AQ77" i="79"/>
  <c r="AQ76" i="79"/>
  <c r="AQ75" i="79"/>
  <c r="AQ74" i="79"/>
  <c r="AQ73" i="79"/>
  <c r="AQ72" i="79"/>
  <c r="AQ71" i="79"/>
  <c r="AQ70" i="79"/>
  <c r="AQ69" i="79"/>
  <c r="AQ68" i="79"/>
  <c r="AQ67" i="79"/>
  <c r="AQ66" i="79"/>
  <c r="AQ65" i="79"/>
  <c r="AQ64" i="79"/>
  <c r="AQ63" i="79"/>
  <c r="AQ62" i="79"/>
  <c r="AQ61" i="79"/>
  <c r="AQ60" i="79"/>
  <c r="AQ59" i="79"/>
  <c r="AQ58" i="79"/>
  <c r="AQ57" i="79"/>
  <c r="AQ56" i="79"/>
  <c r="AQ55" i="79"/>
  <c r="AQ54" i="79"/>
  <c r="AQ53" i="79"/>
  <c r="AQ52" i="79"/>
  <c r="AQ51" i="79"/>
  <c r="AQ50" i="79"/>
  <c r="AQ49" i="79"/>
  <c r="AQ48" i="79"/>
  <c r="AQ47" i="79"/>
  <c r="AQ46" i="79"/>
  <c r="AQ45" i="79"/>
  <c r="AQ44" i="79"/>
  <c r="AQ43" i="79"/>
  <c r="AQ42" i="79"/>
  <c r="AQ41" i="79"/>
  <c r="AQ40" i="79"/>
  <c r="AQ39" i="79"/>
  <c r="AQ38" i="79"/>
  <c r="AQ37" i="79"/>
  <c r="AQ36" i="79"/>
  <c r="AQ35" i="79"/>
  <c r="AQ34" i="79"/>
  <c r="AQ33" i="79"/>
  <c r="AQ32" i="79"/>
  <c r="AQ31" i="79"/>
  <c r="AQ30" i="79"/>
  <c r="AQ29" i="79"/>
  <c r="AQ28" i="79"/>
  <c r="AQ27" i="79"/>
  <c r="AQ26" i="79"/>
  <c r="AQ25" i="79"/>
  <c r="AQ24" i="79"/>
  <c r="AQ23" i="79"/>
  <c r="AQ22" i="79"/>
  <c r="AQ21" i="79"/>
  <c r="AQ20" i="79"/>
  <c r="AQ19" i="79"/>
  <c r="AQ18" i="79"/>
  <c r="AQ17" i="79"/>
  <c r="AQ16" i="79"/>
  <c r="AQ15" i="79"/>
  <c r="AQ14" i="79"/>
  <c r="AQ13" i="79"/>
  <c r="AQ12" i="79"/>
  <c r="AQ11" i="79"/>
  <c r="AQ10" i="79"/>
  <c r="AM99" i="79"/>
  <c r="AM98" i="79"/>
  <c r="AM97" i="79"/>
  <c r="AM96" i="79"/>
  <c r="AM94" i="79"/>
  <c r="AM93" i="79"/>
  <c r="AM92" i="79"/>
  <c r="AM91" i="79"/>
  <c r="AM90" i="79"/>
  <c r="AM89" i="79"/>
  <c r="AM88" i="79"/>
  <c r="AM87" i="79"/>
  <c r="AM86" i="79"/>
  <c r="AM85" i="79"/>
  <c r="AM84" i="79"/>
  <c r="AM83" i="79"/>
  <c r="AM82" i="79"/>
  <c r="AM81" i="79"/>
  <c r="AM80" i="79"/>
  <c r="AM79" i="79"/>
  <c r="AM78" i="79"/>
  <c r="AM77" i="79"/>
  <c r="AM76" i="79"/>
  <c r="AM75" i="79"/>
  <c r="AM74" i="79"/>
  <c r="AM73" i="79"/>
  <c r="AM72" i="79"/>
  <c r="AM71" i="79"/>
  <c r="AM70" i="79"/>
  <c r="AM69" i="79"/>
  <c r="AM68" i="79"/>
  <c r="AM67" i="79"/>
  <c r="AM66" i="79"/>
  <c r="AM65" i="79"/>
  <c r="AM64" i="79"/>
  <c r="AM63" i="79"/>
  <c r="AM62" i="79"/>
  <c r="AM61" i="79"/>
  <c r="AM60" i="79"/>
  <c r="AM59" i="79"/>
  <c r="AM58" i="79"/>
  <c r="AM57" i="79"/>
  <c r="AM56" i="79"/>
  <c r="AM55" i="79"/>
  <c r="AM54" i="79"/>
  <c r="AM53" i="79"/>
  <c r="AM52" i="79"/>
  <c r="AM51" i="79"/>
  <c r="AM50" i="79"/>
  <c r="AM49" i="79"/>
  <c r="AM48" i="79"/>
  <c r="AM47" i="79"/>
  <c r="AM46" i="79"/>
  <c r="AM45" i="79"/>
  <c r="AM44" i="79"/>
  <c r="AM43" i="79"/>
  <c r="AM42" i="79"/>
  <c r="AM41" i="79"/>
  <c r="AM40" i="79"/>
  <c r="AM39" i="79"/>
  <c r="AM38" i="79"/>
  <c r="AM37" i="79"/>
  <c r="AM36" i="79"/>
  <c r="AM35" i="79"/>
  <c r="AM34" i="79"/>
  <c r="AM33" i="79"/>
  <c r="AM32" i="79"/>
  <c r="AM31" i="79"/>
  <c r="AM30" i="79"/>
  <c r="AM29" i="79"/>
  <c r="AM28" i="79"/>
  <c r="AM27" i="79"/>
  <c r="AM26" i="79"/>
  <c r="AM25" i="79"/>
  <c r="AM24" i="79"/>
  <c r="AM23" i="79"/>
  <c r="AM22" i="79"/>
  <c r="AM21" i="79"/>
  <c r="AM20" i="79"/>
  <c r="AM19" i="79"/>
  <c r="AM18" i="79"/>
  <c r="AM17" i="79"/>
  <c r="AM16" i="79"/>
  <c r="AM15" i="79"/>
  <c r="AM14" i="79"/>
  <c r="AM13" i="79"/>
  <c r="AM12" i="79"/>
  <c r="AM11" i="79"/>
  <c r="AM10" i="79"/>
  <c r="AI99" i="79"/>
  <c r="AI98" i="79"/>
  <c r="AI97" i="79"/>
  <c r="AI96" i="79"/>
  <c r="AI94" i="79"/>
  <c r="AI93" i="79"/>
  <c r="AI92" i="79"/>
  <c r="AI91" i="79"/>
  <c r="AI90" i="79"/>
  <c r="AI89" i="79"/>
  <c r="AI88" i="79"/>
  <c r="AI87" i="79"/>
  <c r="AI86" i="79"/>
  <c r="AI85" i="79"/>
  <c r="AI84" i="79"/>
  <c r="AI83" i="79"/>
  <c r="AI82" i="79"/>
  <c r="AI81" i="79"/>
  <c r="AI80" i="79"/>
  <c r="AI79" i="79"/>
  <c r="AI78" i="79"/>
  <c r="AI77" i="79"/>
  <c r="AI76" i="79"/>
  <c r="AI75" i="79"/>
  <c r="AI74" i="79"/>
  <c r="AI73" i="79"/>
  <c r="AI72" i="79"/>
  <c r="AI71" i="79"/>
  <c r="AI70" i="79"/>
  <c r="AI69" i="79"/>
  <c r="AI68" i="79"/>
  <c r="AI67" i="79"/>
  <c r="AI66" i="79"/>
  <c r="AI65" i="79"/>
  <c r="AI64" i="79"/>
  <c r="AI63" i="79"/>
  <c r="AI62" i="79"/>
  <c r="AI61" i="79"/>
  <c r="AI60" i="79"/>
  <c r="AI59" i="79"/>
  <c r="AI58" i="79"/>
  <c r="AI57" i="79"/>
  <c r="AI56" i="79"/>
  <c r="AI55" i="79"/>
  <c r="AI54" i="79"/>
  <c r="AI53" i="79"/>
  <c r="AI52" i="79"/>
  <c r="AI51" i="79"/>
  <c r="AI50" i="79"/>
  <c r="AI49" i="79"/>
  <c r="AI48" i="79"/>
  <c r="AI47" i="79"/>
  <c r="AI46" i="79"/>
  <c r="AI45" i="79"/>
  <c r="AI44" i="79"/>
  <c r="AI43" i="79"/>
  <c r="AI42" i="79"/>
  <c r="AI41" i="79"/>
  <c r="AI40" i="79"/>
  <c r="AI39" i="79"/>
  <c r="AI38" i="79"/>
  <c r="AI37" i="79"/>
  <c r="AI36" i="79"/>
  <c r="AI35" i="79"/>
  <c r="AI34" i="79"/>
  <c r="AI33" i="79"/>
  <c r="AI32" i="79"/>
  <c r="AI31" i="79"/>
  <c r="AI30" i="79"/>
  <c r="AI29" i="79"/>
  <c r="AI28" i="79"/>
  <c r="AI27" i="79"/>
  <c r="AI26" i="79"/>
  <c r="AI25" i="79"/>
  <c r="AI24" i="79"/>
  <c r="AI23" i="79"/>
  <c r="AI22" i="79"/>
  <c r="AI21" i="79"/>
  <c r="AI20" i="79"/>
  <c r="AI19" i="79"/>
  <c r="AI18" i="79"/>
  <c r="AI17" i="79"/>
  <c r="AI16" i="79"/>
  <c r="AI15" i="79"/>
  <c r="AI14" i="79"/>
  <c r="AI13" i="79"/>
  <c r="AI12" i="79"/>
  <c r="AI11" i="79"/>
  <c r="AI10" i="79"/>
  <c r="AE99" i="79"/>
  <c r="AE98" i="79"/>
  <c r="AE97" i="79"/>
  <c r="AE96" i="79"/>
  <c r="AE94" i="79"/>
  <c r="AE93" i="79"/>
  <c r="AE92" i="79"/>
  <c r="AE91" i="79"/>
  <c r="AE90" i="79"/>
  <c r="AE89" i="79"/>
  <c r="AE88" i="79"/>
  <c r="AE87" i="79"/>
  <c r="AE86" i="79"/>
  <c r="AE85" i="79"/>
  <c r="AE84" i="79"/>
  <c r="AE83" i="79"/>
  <c r="AE82" i="79"/>
  <c r="AE81" i="79"/>
  <c r="AE80" i="79"/>
  <c r="AE79" i="79"/>
  <c r="AE78" i="79"/>
  <c r="AE77" i="79"/>
  <c r="AE76" i="79"/>
  <c r="AE75" i="79"/>
  <c r="AE74" i="79"/>
  <c r="AE73" i="79"/>
  <c r="AE72" i="79"/>
  <c r="AE71" i="79"/>
  <c r="AE70" i="79"/>
  <c r="AE69" i="79"/>
  <c r="AE68" i="79"/>
  <c r="AE67" i="79"/>
  <c r="AE66" i="79"/>
  <c r="AE65" i="79"/>
  <c r="AE64" i="79"/>
  <c r="AE63" i="79"/>
  <c r="AE62" i="79"/>
  <c r="AE61" i="79"/>
  <c r="AE60" i="79"/>
  <c r="AE59" i="79"/>
  <c r="AE58" i="79"/>
  <c r="AE57" i="79"/>
  <c r="AE56" i="79"/>
  <c r="AE55" i="79"/>
  <c r="AE54" i="79"/>
  <c r="AE53" i="79"/>
  <c r="AE52" i="79"/>
  <c r="AE51" i="79"/>
  <c r="AE50" i="79"/>
  <c r="AE49" i="79"/>
  <c r="AE48" i="79"/>
  <c r="AE47" i="79"/>
  <c r="AE46" i="79"/>
  <c r="AE45" i="79"/>
  <c r="AE44" i="79"/>
  <c r="AE43" i="79"/>
  <c r="AE42" i="79"/>
  <c r="AE41" i="79"/>
  <c r="AE40" i="79"/>
  <c r="AE39" i="79"/>
  <c r="AE38" i="79"/>
  <c r="AE37" i="79"/>
  <c r="AE36" i="79"/>
  <c r="AE35" i="79"/>
  <c r="AE34" i="79"/>
  <c r="AE33" i="79"/>
  <c r="AE32" i="79"/>
  <c r="AE31" i="79"/>
  <c r="AE30" i="79"/>
  <c r="AE29" i="79"/>
  <c r="AE28" i="79"/>
  <c r="AE27" i="79"/>
  <c r="AE26" i="79"/>
  <c r="AE25" i="79"/>
  <c r="AE24" i="79"/>
  <c r="AE23" i="79"/>
  <c r="AE22" i="79"/>
  <c r="AE21" i="79"/>
  <c r="AE20" i="79"/>
  <c r="AE19" i="79"/>
  <c r="AE18" i="79"/>
  <c r="AE17" i="79"/>
  <c r="AE16" i="79"/>
  <c r="AE15" i="79"/>
  <c r="AE14" i="79"/>
  <c r="AE13" i="79"/>
  <c r="AE12" i="79"/>
  <c r="AE11" i="79"/>
  <c r="AE10" i="79"/>
  <c r="AA99" i="79"/>
  <c r="AA98" i="79"/>
  <c r="AA97" i="79"/>
  <c r="AA96" i="79"/>
  <c r="AA94" i="79"/>
  <c r="AA93" i="79"/>
  <c r="AA92" i="79"/>
  <c r="AA91" i="79"/>
  <c r="AA90" i="79"/>
  <c r="AA89" i="79"/>
  <c r="AA88" i="79"/>
  <c r="AA87" i="79"/>
  <c r="AA86" i="79"/>
  <c r="AA85" i="79"/>
  <c r="AA84" i="79"/>
  <c r="AA83" i="79"/>
  <c r="AA82" i="79"/>
  <c r="AA81" i="79"/>
  <c r="AA80" i="79"/>
  <c r="AA79" i="79"/>
  <c r="AA78" i="79"/>
  <c r="AA77" i="79"/>
  <c r="AA76" i="79"/>
  <c r="AA75" i="79"/>
  <c r="AA74" i="79"/>
  <c r="AA73" i="79"/>
  <c r="AA72" i="79"/>
  <c r="AA71" i="79"/>
  <c r="AA70" i="79"/>
  <c r="AA69" i="79"/>
  <c r="AA68" i="79"/>
  <c r="AA67" i="79"/>
  <c r="AA66" i="79"/>
  <c r="AA65" i="79"/>
  <c r="AA64" i="79"/>
  <c r="AA63" i="79"/>
  <c r="AA62" i="79"/>
  <c r="AA61" i="79"/>
  <c r="AA60" i="79"/>
  <c r="AA59" i="79"/>
  <c r="AA58" i="79"/>
  <c r="AA57" i="79"/>
  <c r="AA56" i="79"/>
  <c r="AA55" i="79"/>
  <c r="AA54" i="79"/>
  <c r="AA53" i="79"/>
  <c r="AA52" i="79"/>
  <c r="AA51" i="79"/>
  <c r="AA50" i="79"/>
  <c r="AA49" i="79"/>
  <c r="AA48" i="79"/>
  <c r="AA47" i="79"/>
  <c r="AA46" i="79"/>
  <c r="AA45" i="79"/>
  <c r="AA44" i="79"/>
  <c r="AA43" i="79"/>
  <c r="AA42" i="79"/>
  <c r="AA41" i="79"/>
  <c r="AA40" i="79"/>
  <c r="AA39" i="79"/>
  <c r="AA38" i="79"/>
  <c r="AA37" i="79"/>
  <c r="AA36" i="79"/>
  <c r="AA35" i="79"/>
  <c r="AA34" i="79"/>
  <c r="AA33" i="79"/>
  <c r="AA32" i="79"/>
  <c r="AA31" i="79"/>
  <c r="AA30" i="79"/>
  <c r="AA29" i="79"/>
  <c r="AA28" i="79"/>
  <c r="AA27" i="79"/>
  <c r="AA26" i="79"/>
  <c r="AA25" i="79"/>
  <c r="AA24" i="79"/>
  <c r="AA23" i="79"/>
  <c r="AA22" i="79"/>
  <c r="AA21" i="79"/>
  <c r="AA20" i="79"/>
  <c r="AA19" i="79"/>
  <c r="AA18" i="79"/>
  <c r="AA17" i="79"/>
  <c r="AA16" i="79"/>
  <c r="AA15" i="79"/>
  <c r="AA14" i="79"/>
  <c r="AA13" i="79"/>
  <c r="AA12" i="79"/>
  <c r="AA11" i="79"/>
  <c r="AA10" i="79"/>
  <c r="W99" i="79"/>
  <c r="W98" i="79"/>
  <c r="W97" i="79"/>
  <c r="W96" i="79"/>
  <c r="W94" i="79"/>
  <c r="W93" i="79"/>
  <c r="W92" i="79"/>
  <c r="W91" i="79"/>
  <c r="W90" i="79"/>
  <c r="W89" i="79"/>
  <c r="W88" i="79"/>
  <c r="W87" i="79"/>
  <c r="W86" i="79"/>
  <c r="W85" i="79"/>
  <c r="W84" i="79"/>
  <c r="W83" i="79"/>
  <c r="W82" i="79"/>
  <c r="W81" i="79"/>
  <c r="W80" i="79"/>
  <c r="W79" i="79"/>
  <c r="W78" i="79"/>
  <c r="W77" i="79"/>
  <c r="W76" i="79"/>
  <c r="W75" i="79"/>
  <c r="W74" i="79"/>
  <c r="W73" i="79"/>
  <c r="W72" i="79"/>
  <c r="W71" i="79"/>
  <c r="W70" i="79"/>
  <c r="W69" i="79"/>
  <c r="W68" i="79"/>
  <c r="W67" i="79"/>
  <c r="W66" i="79"/>
  <c r="W65" i="79"/>
  <c r="W64" i="79"/>
  <c r="W63" i="79"/>
  <c r="W62" i="79"/>
  <c r="W61" i="79"/>
  <c r="W60" i="79"/>
  <c r="W59" i="79"/>
  <c r="W58" i="79"/>
  <c r="W57" i="79"/>
  <c r="W56" i="79"/>
  <c r="W55" i="79"/>
  <c r="W54" i="79"/>
  <c r="W53" i="79"/>
  <c r="W52" i="79"/>
  <c r="W51" i="79"/>
  <c r="W50" i="79"/>
  <c r="W49" i="79"/>
  <c r="W48" i="79"/>
  <c r="W47" i="79"/>
  <c r="W46" i="79"/>
  <c r="W45" i="79"/>
  <c r="W44" i="79"/>
  <c r="W43" i="79"/>
  <c r="W42" i="79"/>
  <c r="W41" i="79"/>
  <c r="W40" i="79"/>
  <c r="W39" i="79"/>
  <c r="W38" i="79"/>
  <c r="W37" i="79"/>
  <c r="W36" i="79"/>
  <c r="W35" i="79"/>
  <c r="W34" i="79"/>
  <c r="W33" i="79"/>
  <c r="W32" i="79"/>
  <c r="W31" i="79"/>
  <c r="W30" i="79"/>
  <c r="W29" i="79"/>
  <c r="W28" i="79"/>
  <c r="W27" i="79"/>
  <c r="W26" i="79"/>
  <c r="W25" i="79"/>
  <c r="W24" i="79"/>
  <c r="W23" i="79"/>
  <c r="W22" i="79"/>
  <c r="W21" i="79"/>
  <c r="W20" i="79"/>
  <c r="W19" i="79"/>
  <c r="W18" i="79"/>
  <c r="W17" i="79"/>
  <c r="W16" i="79"/>
  <c r="W15" i="79"/>
  <c r="W14" i="79"/>
  <c r="W13" i="79"/>
  <c r="W12" i="79"/>
  <c r="W11" i="79"/>
  <c r="W10" i="79"/>
  <c r="S99" i="79"/>
  <c r="S98" i="79"/>
  <c r="S97" i="79"/>
  <c r="S96" i="79"/>
  <c r="S94" i="79"/>
  <c r="S93" i="79"/>
  <c r="S92" i="79"/>
  <c r="S91" i="79"/>
  <c r="S90" i="79"/>
  <c r="S89" i="79"/>
  <c r="S88" i="79"/>
  <c r="S87" i="79"/>
  <c r="S86" i="79"/>
  <c r="S85" i="79"/>
  <c r="S84" i="79"/>
  <c r="S83" i="79"/>
  <c r="S82" i="79"/>
  <c r="S81" i="79"/>
  <c r="S80" i="79"/>
  <c r="S79" i="79"/>
  <c r="S78" i="79"/>
  <c r="S77" i="79"/>
  <c r="S76" i="79"/>
  <c r="S75" i="79"/>
  <c r="S74" i="79"/>
  <c r="S73" i="79"/>
  <c r="S72" i="79"/>
  <c r="S71" i="79"/>
  <c r="S70" i="79"/>
  <c r="S69" i="79"/>
  <c r="S68" i="79"/>
  <c r="S67" i="79"/>
  <c r="S66" i="79"/>
  <c r="S65" i="79"/>
  <c r="S64" i="79"/>
  <c r="S63" i="79"/>
  <c r="S62" i="79"/>
  <c r="S61" i="79"/>
  <c r="S60" i="79"/>
  <c r="S59" i="79"/>
  <c r="S58" i="79"/>
  <c r="S57" i="79"/>
  <c r="S56" i="79"/>
  <c r="S55" i="79"/>
  <c r="S54" i="79"/>
  <c r="S53" i="79"/>
  <c r="S52" i="79"/>
  <c r="S51" i="79"/>
  <c r="S50" i="79"/>
  <c r="S49" i="79"/>
  <c r="S48" i="79"/>
  <c r="S47" i="79"/>
  <c r="S46" i="79"/>
  <c r="S45" i="79"/>
  <c r="S44" i="79"/>
  <c r="S43" i="79"/>
  <c r="S42" i="79"/>
  <c r="S41" i="79"/>
  <c r="S40" i="79"/>
  <c r="S39" i="79"/>
  <c r="S38" i="79"/>
  <c r="S37" i="79"/>
  <c r="S36" i="79"/>
  <c r="S35" i="79"/>
  <c r="S34" i="79"/>
  <c r="S33" i="79"/>
  <c r="S32" i="79"/>
  <c r="S31" i="79"/>
  <c r="S30" i="79"/>
  <c r="S29" i="79"/>
  <c r="S28" i="79"/>
  <c r="S27" i="79"/>
  <c r="S26" i="79"/>
  <c r="S25" i="79"/>
  <c r="S24" i="79"/>
  <c r="S23" i="79"/>
  <c r="S22" i="79"/>
  <c r="S21" i="79"/>
  <c r="S20" i="79"/>
  <c r="S19" i="79"/>
  <c r="S18" i="79"/>
  <c r="S17" i="79"/>
  <c r="S16" i="79"/>
  <c r="S15" i="79"/>
  <c r="S14" i="79"/>
  <c r="S13" i="79"/>
  <c r="S12" i="79"/>
  <c r="S11" i="79"/>
  <c r="S10" i="79"/>
  <c r="O99" i="79"/>
  <c r="O98" i="79"/>
  <c r="O97" i="79"/>
  <c r="O96" i="79"/>
  <c r="O94" i="79"/>
  <c r="O93" i="79"/>
  <c r="O92" i="79"/>
  <c r="O91" i="79"/>
  <c r="O90" i="79"/>
  <c r="O89" i="79"/>
  <c r="O88" i="79"/>
  <c r="O87" i="79"/>
  <c r="O86" i="79"/>
  <c r="O85" i="79"/>
  <c r="O84" i="79"/>
  <c r="O83" i="79"/>
  <c r="O82" i="79"/>
  <c r="O81" i="79"/>
  <c r="O80" i="79"/>
  <c r="O79" i="79"/>
  <c r="O78" i="79"/>
  <c r="O77" i="79"/>
  <c r="O76" i="79"/>
  <c r="O75" i="79"/>
  <c r="O74" i="79"/>
  <c r="O73" i="79"/>
  <c r="O72" i="79"/>
  <c r="O71" i="79"/>
  <c r="O70" i="79"/>
  <c r="O69" i="79"/>
  <c r="O68" i="79"/>
  <c r="O67" i="79"/>
  <c r="O66" i="79"/>
  <c r="O65" i="79"/>
  <c r="O64" i="79"/>
  <c r="O63" i="79"/>
  <c r="O62" i="79"/>
  <c r="O61" i="79"/>
  <c r="O60" i="79"/>
  <c r="O59" i="79"/>
  <c r="O58" i="79"/>
  <c r="O57" i="79"/>
  <c r="O56" i="79"/>
  <c r="O55" i="79"/>
  <c r="O54" i="79"/>
  <c r="O53" i="79"/>
  <c r="O52" i="79"/>
  <c r="O51" i="79"/>
  <c r="O50" i="79"/>
  <c r="O49" i="79"/>
  <c r="O48" i="79"/>
  <c r="O47" i="79"/>
  <c r="O46" i="79"/>
  <c r="O45" i="79"/>
  <c r="O44" i="79"/>
  <c r="O43" i="79"/>
  <c r="O42" i="79"/>
  <c r="O41" i="79"/>
  <c r="O40" i="79"/>
  <c r="O39" i="79"/>
  <c r="O38" i="79"/>
  <c r="O37" i="79"/>
  <c r="O36" i="79"/>
  <c r="O35" i="79"/>
  <c r="O34" i="79"/>
  <c r="O33" i="79"/>
  <c r="O32" i="79"/>
  <c r="O31" i="79"/>
  <c r="O30" i="79"/>
  <c r="O29" i="79"/>
  <c r="O28" i="79"/>
  <c r="O27" i="79"/>
  <c r="O26" i="79"/>
  <c r="O25" i="79"/>
  <c r="O24" i="79"/>
  <c r="O23" i="79"/>
  <c r="O22" i="79"/>
  <c r="O21" i="79"/>
  <c r="O20" i="79"/>
  <c r="O19" i="79"/>
  <c r="O18" i="79"/>
  <c r="O17" i="79"/>
  <c r="O16" i="79"/>
  <c r="O15" i="79"/>
  <c r="O14" i="79"/>
  <c r="O13" i="79"/>
  <c r="O12" i="79"/>
  <c r="O11" i="79"/>
  <c r="O10" i="79"/>
  <c r="K12" i="79"/>
  <c r="K10" i="79"/>
  <c r="K11" i="79"/>
  <c r="K13" i="79"/>
  <c r="K14" i="79"/>
  <c r="K15" i="79"/>
  <c r="K16" i="79"/>
  <c r="K17" i="79"/>
  <c r="K18" i="79"/>
  <c r="K19" i="79"/>
  <c r="K20" i="79"/>
  <c r="K21" i="79"/>
  <c r="K22" i="79"/>
  <c r="K23" i="79"/>
  <c r="K24" i="79"/>
  <c r="K25" i="79"/>
  <c r="K26" i="79"/>
  <c r="K27" i="79"/>
  <c r="K28" i="79"/>
  <c r="K29" i="79"/>
  <c r="K30" i="79"/>
  <c r="K31" i="79"/>
  <c r="K32" i="79"/>
  <c r="K33" i="79"/>
  <c r="K34" i="79"/>
  <c r="K35" i="79"/>
  <c r="K36" i="79"/>
  <c r="K37" i="79"/>
  <c r="K38" i="79"/>
  <c r="K39" i="79"/>
  <c r="K40" i="79"/>
  <c r="K41" i="79"/>
  <c r="K42" i="79"/>
  <c r="K43" i="79"/>
  <c r="K44" i="79"/>
  <c r="K45" i="79"/>
  <c r="K46" i="79"/>
  <c r="K47" i="79"/>
  <c r="K48" i="79"/>
  <c r="K49" i="79"/>
  <c r="K50" i="79"/>
  <c r="K51" i="79"/>
  <c r="K52" i="79"/>
  <c r="K53" i="79"/>
  <c r="K54" i="79"/>
  <c r="K55" i="79"/>
  <c r="K56" i="79"/>
  <c r="K57" i="79"/>
  <c r="K58" i="79"/>
  <c r="K59" i="79"/>
  <c r="K60" i="79"/>
  <c r="K61" i="79"/>
  <c r="K62" i="79"/>
  <c r="K63" i="79"/>
  <c r="K64" i="79"/>
  <c r="K65" i="79"/>
  <c r="K66" i="79"/>
  <c r="K67" i="79"/>
  <c r="K68" i="79"/>
  <c r="K69" i="79"/>
  <c r="K70" i="79"/>
  <c r="K71" i="79"/>
  <c r="K72" i="79"/>
  <c r="K73" i="79"/>
  <c r="K74" i="79"/>
  <c r="K75" i="79"/>
  <c r="K76" i="79"/>
  <c r="K77" i="79"/>
  <c r="K78" i="79"/>
  <c r="K79" i="79"/>
  <c r="K80" i="79"/>
  <c r="K81" i="79"/>
  <c r="K82" i="79"/>
  <c r="K83" i="79"/>
  <c r="K84" i="79"/>
  <c r="K85" i="79"/>
  <c r="K86" i="79"/>
  <c r="K87" i="79"/>
  <c r="K88" i="79"/>
  <c r="K89" i="79"/>
  <c r="K90" i="79"/>
  <c r="K91" i="79"/>
  <c r="K92" i="79"/>
  <c r="K93" i="79"/>
  <c r="K94" i="79"/>
  <c r="K96" i="79"/>
  <c r="K97" i="79"/>
  <c r="K98" i="79"/>
  <c r="K99" i="79"/>
  <c r="BZ101" i="79" l="1"/>
</calcChain>
</file>

<file path=xl/sharedStrings.xml><?xml version="1.0" encoding="utf-8"?>
<sst xmlns="http://schemas.openxmlformats.org/spreadsheetml/2006/main" count="452" uniqueCount="243">
  <si>
    <t>※印刷単価は、枚数により変動します・・・・・・！</t>
    <rPh sb="1" eb="3">
      <t>インサツ</t>
    </rPh>
    <rPh sb="3" eb="5">
      <t>タンカ</t>
    </rPh>
    <rPh sb="7" eb="9">
      <t>マイスウ</t>
    </rPh>
    <rPh sb="12" eb="14">
      <t>ヘンドウ</t>
    </rPh>
    <phoneticPr fontId="2"/>
  </si>
  <si>
    <t>～</t>
  </si>
  <si>
    <t>チラシ費</t>
  </si>
  <si>
    <t>B4</t>
  </si>
  <si>
    <t>B3</t>
  </si>
  <si>
    <t>B4</t>
    <phoneticPr fontId="2"/>
  </si>
  <si>
    <t>店名</t>
  </si>
  <si>
    <t>B全</t>
    <rPh sb="1" eb="2">
      <t>ゼン</t>
    </rPh>
    <phoneticPr fontId="2"/>
  </si>
  <si>
    <t>B2</t>
  </si>
  <si>
    <t>推定経費</t>
    <rPh sb="0" eb="2">
      <t>スイテイ</t>
    </rPh>
    <rPh sb="2" eb="4">
      <t>ケイヒ</t>
    </rPh>
    <phoneticPr fontId="2"/>
  </si>
  <si>
    <t>本年予算</t>
    <rPh sb="0" eb="2">
      <t>ホンネン</t>
    </rPh>
    <rPh sb="2" eb="4">
      <t>ヨサン</t>
    </rPh>
    <phoneticPr fontId="2"/>
  </si>
  <si>
    <t>予算比</t>
    <rPh sb="0" eb="2">
      <t>ヨサン</t>
    </rPh>
    <rPh sb="2" eb="3">
      <t>ヒ</t>
    </rPh>
    <phoneticPr fontId="2"/>
  </si>
  <si>
    <t>ビッグ事業部計</t>
    <rPh sb="3" eb="5">
      <t>ジギョウ</t>
    </rPh>
    <rPh sb="5" eb="6">
      <t>ブ</t>
    </rPh>
    <rPh sb="6" eb="7">
      <t>ケイ</t>
    </rPh>
    <phoneticPr fontId="2"/>
  </si>
  <si>
    <t>実施枚数</t>
    <rPh sb="0" eb="4">
      <t>ジッシマイスウ</t>
    </rPh>
    <phoneticPr fontId="2"/>
  </si>
  <si>
    <t>店番</t>
    <rPh sb="0" eb="2">
      <t>テンバン</t>
    </rPh>
    <phoneticPr fontId="9"/>
  </si>
  <si>
    <t>南側　多治見方面</t>
  </si>
  <si>
    <t>多治見方面</t>
  </si>
  <si>
    <t>北側追加</t>
  </si>
  <si>
    <t>芸濃店ＯＰ後</t>
  </si>
  <si>
    <t>長浜方面</t>
  </si>
  <si>
    <t>☆レギュラー</t>
  </si>
  <si>
    <t>☆【Ｃ】２００００</t>
  </si>
  <si>
    <t>【Ｃ】河間ＯＰ後</t>
  </si>
  <si>
    <t>☆【Ｃ】３００００</t>
  </si>
  <si>
    <t>☆【Ａ】１００００</t>
  </si>
  <si>
    <t>☆【Ａ】３００００</t>
  </si>
  <si>
    <t>【南】１５．１２．９から</t>
  </si>
  <si>
    <t>【ご提案】東側　犬山拡大</t>
  </si>
  <si>
    <t>【ご提案】西側＋扶桑</t>
  </si>
  <si>
    <t>３００００新Ｂ</t>
  </si>
  <si>
    <t>５００００新Ｂ</t>
  </si>
  <si>
    <t>足元・北側カット</t>
  </si>
  <si>
    <t>店舗中心</t>
  </si>
  <si>
    <t>提案【Ａ】海側　修正　店舗中心＋東側</t>
  </si>
  <si>
    <t>４万＋３万南パターン＋おもちゃの町駅</t>
  </si>
  <si>
    <t>【レギュラー】１６．１１から</t>
  </si>
  <si>
    <t>☆【Ａ】提案エリア　３万分割　（東）</t>
  </si>
  <si>
    <t>【Ａ】提案エリア　４２５分割　（東）</t>
  </si>
  <si>
    <t>☆提案エリア　４００００枚</t>
  </si>
  <si>
    <t>ＪＲより北＋追加エリア</t>
  </si>
  <si>
    <t>ＪＲより北＋米原方面</t>
  </si>
  <si>
    <t>Ｅ　野洲市内</t>
  </si>
  <si>
    <t>２００００枚　ＣＤＤＳ</t>
  </si>
  <si>
    <t>【Ｂ】２ｋｍ圏ＣＤＤＳ</t>
  </si>
  <si>
    <t>Ｃパターン　西側追加</t>
  </si>
  <si>
    <t>Ｃパターン　北側カット　西側追加</t>
  </si>
  <si>
    <t>３０，０００エリアＡ</t>
  </si>
  <si>
    <t>３０，０００エリアＡ　ＣＤＤＳ</t>
  </si>
  <si>
    <t>★レギュラー①＋③</t>
  </si>
  <si>
    <t>★レギュラー①＋②＋⑤</t>
  </si>
  <si>
    <t>★レギュラー①＋④＋⑤　ＣＤＤＳ</t>
  </si>
  <si>
    <t>★レギュラー</t>
  </si>
  <si>
    <t>足元</t>
  </si>
  <si>
    <t>☆【Ａ】提案エリア　５万分割（東）</t>
  </si>
  <si>
    <t>２００００Ａ</t>
  </si>
  <si>
    <t>☆【Ｂ】１００００</t>
  </si>
  <si>
    <t>３００００Ａ</t>
  </si>
  <si>
    <t>☆【Ｃ】１００００</t>
  </si>
  <si>
    <t>☆【Ｄ】３００００</t>
  </si>
  <si>
    <t>☆【Ｂ】提案エリア　４２５分割（西）</t>
  </si>
  <si>
    <t>☆【Ｂ】２００００</t>
  </si>
  <si>
    <t>☆【Ｃ】５００００</t>
  </si>
  <si>
    <t>☆【Ｄ】５００００</t>
  </si>
  <si>
    <t>◎レギュラー</t>
  </si>
  <si>
    <t>☆提案　単独１万</t>
  </si>
  <si>
    <t>☆【Ｂ】３００００</t>
  </si>
  <si>
    <t>◎【Ｂ】</t>
  </si>
  <si>
    <t>【中】１５．１２．９から</t>
  </si>
  <si>
    <t>☆【Ａ】津島より</t>
  </si>
  <si>
    <t>５００００新Ａ</t>
  </si>
  <si>
    <t>【新】大和郡山</t>
  </si>
  <si>
    <t>【ご提案】西側</t>
  </si>
  <si>
    <t>【ご提案】</t>
  </si>
  <si>
    <t>【ご提案】Ａ　２万枚＋扶桑</t>
  </si>
  <si>
    <t>４万－西側</t>
  </si>
  <si>
    <t>【Ｂ】</t>
  </si>
  <si>
    <t>近江長岡方面</t>
  </si>
  <si>
    <t>★ＣＤＤＳ</t>
  </si>
  <si>
    <t>ＪＲより北</t>
  </si>
  <si>
    <t>Ｂパターン　西側寄り</t>
  </si>
  <si>
    <t>Ｃパターン　鈴鹿ユーズＢ・Ｃ実施</t>
  </si>
  <si>
    <t>店舗中心１００００枚カット</t>
  </si>
  <si>
    <t>Ｃパターン　鈴鹿ユーズＢ実施</t>
  </si>
  <si>
    <t>Ａパターン</t>
  </si>
  <si>
    <t>Ｂパターン　北部強化</t>
  </si>
  <si>
    <t>Ｃパターン　南部強化</t>
  </si>
  <si>
    <t>Ｄパターン　東部強化</t>
  </si>
  <si>
    <t>ＣＤＤＳ</t>
  </si>
  <si>
    <t>南側１００００枚　足元無</t>
  </si>
  <si>
    <t>２００００枚</t>
  </si>
  <si>
    <t>☆レギュラー　ＣＤＤＳ</t>
  </si>
  <si>
    <t>店舗中心＋北側</t>
  </si>
  <si>
    <t>Ｃパターン　足元カット＋南側追加</t>
  </si>
  <si>
    <t>ご提案　５万枚</t>
  </si>
  <si>
    <t>ご提案　４万枚</t>
  </si>
  <si>
    <t>ご提案　３万枚</t>
  </si>
  <si>
    <t>ご提案　２万枚</t>
  </si>
  <si>
    <t>ご提案　１万枚</t>
  </si>
  <si>
    <t>ご提案　２万枚＋ＣＤＤＳ</t>
  </si>
  <si>
    <t>ＡＢＣＤ　結合</t>
  </si>
  <si>
    <t>ご提案　西・北カット</t>
  </si>
  <si>
    <t>ご提案　西側・北側　川を越えない</t>
  </si>
  <si>
    <t>外周</t>
  </si>
  <si>
    <t>平日　北西の川を越えない</t>
  </si>
  <si>
    <t>さくら市</t>
  </si>
  <si>
    <t>１万＋長浜駅周辺</t>
  </si>
  <si>
    <t>Ｄパターン　Ｃ＋足元追加</t>
  </si>
  <si>
    <t>２ｋｍ圏</t>
  </si>
  <si>
    <t>２００００＋竜王＋栗東</t>
  </si>
  <si>
    <t>ご提案　１．５万枚</t>
  </si>
  <si>
    <t>Ｅ　野洲市内＋守山方面</t>
  </si>
  <si>
    <t>【Ｂ】河間ＯＰ後</t>
  </si>
  <si>
    <t>★レギュラー①</t>
  </si>
  <si>
    <t>★レギュラー⑤</t>
  </si>
  <si>
    <t>★レギュラー②</t>
  </si>
  <si>
    <t>★レギュラー③</t>
  </si>
  <si>
    <t>★レギュラー④</t>
  </si>
  <si>
    <t>★レギュラー①＋④</t>
  </si>
  <si>
    <t>★レギュラー①＋⑤</t>
  </si>
  <si>
    <t>★レギュラー①＋②</t>
  </si>
  <si>
    <t>★レギュラー①＋⑤　ＣＤＤＳ</t>
  </si>
  <si>
    <t>★レギュラー①＋②　ＣＤＤＳ</t>
  </si>
  <si>
    <t>★レギュラー①＋③　ＣＤＤＳ</t>
  </si>
  <si>
    <t>★レギュラー①＋④　ＣＤＤＳ</t>
  </si>
  <si>
    <t>【Ｂ】　ＣＤＤＳ</t>
  </si>
  <si>
    <t>【Ｂ】２ｋｍ圏ＣＤＤＳ　６万に調整</t>
  </si>
  <si>
    <t>☆②武芸川地区</t>
  </si>
  <si>
    <t>☆③マーゴ付近</t>
  </si>
  <si>
    <t>【Ａ】☆新レギュラー①</t>
  </si>
  <si>
    <t>【Ｂ】☆新レギュラー②</t>
  </si>
  <si>
    <t>★レギュラー①＋②＋③</t>
  </si>
  <si>
    <t>１００００枚パターン</t>
  </si>
  <si>
    <t>②虎姫駅周辺</t>
  </si>
  <si>
    <t>2400</t>
  </si>
  <si>
    <t>2650</t>
  </si>
  <si>
    <t>3500</t>
  </si>
  <si>
    <t>4600</t>
  </si>
  <si>
    <t>5050</t>
  </si>
  <si>
    <t>5900</t>
  </si>
  <si>
    <t>7000</t>
  </si>
  <si>
    <t>7850</t>
  </si>
  <si>
    <t>8550</t>
  </si>
  <si>
    <t>9450</t>
  </si>
  <si>
    <t>10250</t>
  </si>
  <si>
    <t>11150</t>
  </si>
  <si>
    <t>12900</t>
  </si>
  <si>
    <t>13200</t>
  </si>
  <si>
    <t>14900</t>
  </si>
  <si>
    <t>20200</t>
  </si>
  <si>
    <t>21000</t>
  </si>
  <si>
    <t>36250</t>
  </si>
  <si>
    <t>4500</t>
  </si>
  <si>
    <t>8000</t>
  </si>
  <si>
    <t>8600</t>
  </si>
  <si>
    <t>14000</t>
  </si>
  <si>
    <t>14500</t>
  </si>
  <si>
    <t>6000</t>
  </si>
  <si>
    <t>10000</t>
  </si>
  <si>
    <t>17000</t>
  </si>
  <si>
    <t>20000</t>
  </si>
  <si>
    <t>5000</t>
  </si>
  <si>
    <t>30000</t>
  </si>
  <si>
    <t>53400</t>
  </si>
  <si>
    <t>7500</t>
  </si>
  <si>
    <t>15000</t>
  </si>
  <si>
    <t>18850</t>
  </si>
  <si>
    <t>23000</t>
  </si>
  <si>
    <t>25000</t>
  </si>
  <si>
    <t>27000</t>
  </si>
  <si>
    <t>9000</t>
  </si>
  <si>
    <t>24000</t>
  </si>
  <si>
    <t>24500</t>
  </si>
  <si>
    <t>26000</t>
  </si>
  <si>
    <t>18600</t>
  </si>
  <si>
    <t>22300</t>
  </si>
  <si>
    <t>40000</t>
  </si>
  <si>
    <t>15400</t>
  </si>
  <si>
    <t>12100</t>
  </si>
  <si>
    <t>14200</t>
  </si>
  <si>
    <t>13500</t>
  </si>
  <si>
    <t>37000</t>
  </si>
  <si>
    <t>60000</t>
  </si>
  <si>
    <t>10900</t>
  </si>
  <si>
    <t>12000</t>
  </si>
  <si>
    <t>13000</t>
  </si>
  <si>
    <t>33000</t>
  </si>
  <si>
    <t>43000</t>
  </si>
  <si>
    <t>14300</t>
  </si>
  <si>
    <t>21300</t>
  </si>
  <si>
    <t>35350</t>
  </si>
  <si>
    <t>38800</t>
  </si>
  <si>
    <t>46100</t>
  </si>
  <si>
    <t>50000</t>
  </si>
  <si>
    <t>10200</t>
  </si>
  <si>
    <t>10750</t>
  </si>
  <si>
    <t>35800</t>
  </si>
  <si>
    <t>57750</t>
  </si>
  <si>
    <t>73800</t>
  </si>
  <si>
    <t>120750</t>
  </si>
  <si>
    <t>27200</t>
  </si>
  <si>
    <t>44800</t>
  </si>
  <si>
    <t>57500</t>
  </si>
  <si>
    <t>80000</t>
  </si>
  <si>
    <t>GD</t>
    <phoneticPr fontId="9"/>
  </si>
  <si>
    <t>月度　チラシ配布枚数</t>
    <rPh sb="0" eb="2">
      <t>ガツド</t>
    </rPh>
    <rPh sb="6" eb="8">
      <t>ハイフ</t>
    </rPh>
    <rPh sb="8" eb="10">
      <t>マイスウ</t>
    </rPh>
    <phoneticPr fontId="2"/>
  </si>
  <si>
    <t>店置き</t>
    <phoneticPr fontId="2"/>
  </si>
  <si>
    <t>費用</t>
    <phoneticPr fontId="9"/>
  </si>
  <si>
    <t>st</t>
    <phoneticPr fontId="9"/>
  </si>
  <si>
    <t>B2</t>
    <phoneticPr fontId="2"/>
  </si>
  <si>
    <t>配布エリア</t>
    <rPh sb="0" eb="1">
      <t>ハイフ</t>
    </rPh>
    <phoneticPr fontId="2"/>
  </si>
  <si>
    <t>このファイルを使う前に（マクロを有効にしてください）</t>
  </si>
  <si>
    <r>
      <t xml:space="preserve">このファイルは、店舗を選択して編集できる行を制限するために </t>
    </r>
    <r>
      <rPr>
        <b/>
        <sz val="11"/>
        <color theme="1"/>
        <rFont val="ＭＳ Ｐゴシック"/>
        <family val="3"/>
        <charset val="128"/>
        <scheme val="minor"/>
      </rPr>
      <t>マクロ（VBA）</t>
    </r>
    <r>
      <rPr>
        <sz val="11"/>
        <color theme="1"/>
        <rFont val="ＭＳ Ｐゴシック"/>
        <family val="3"/>
        <charset val="128"/>
        <scheme val="minor"/>
      </rPr>
      <t xml:space="preserve"> を使用しています。</t>
    </r>
  </si>
  <si>
    <t>マクロが無効／ブロックのままだと正常に動作しません。</t>
  </si>
  <si>
    <t>1. まず「編集を有効にする」</t>
  </si>
  <si>
    <t>画面上部に黄色いバーが出ている場合は、</t>
  </si>
  <si>
    <r>
      <t>［編集を有効にする］</t>
    </r>
    <r>
      <rPr>
        <sz val="11"/>
        <color theme="1"/>
        <rFont val="ＭＳ Ｐゴシック"/>
        <family val="3"/>
        <charset val="128"/>
        <scheme val="minor"/>
      </rPr>
      <t xml:space="preserve"> をクリックしてください。</t>
    </r>
  </si>
  <si>
    <t>2. 次に「マクロ（コンテンツ）を有効にする」</t>
  </si>
  <si>
    <t>同じバー、または「セキュリティの警告」が出ている場合は、</t>
  </si>
  <si>
    <r>
      <t>［コンテンツの有効化］（または［マクロを有効にする］）</t>
    </r>
    <r>
      <rPr>
        <sz val="11"/>
        <color theme="1"/>
        <rFont val="ＭＳ Ｐゴシック"/>
        <family val="3"/>
        <charset val="128"/>
        <scheme val="minor"/>
      </rPr>
      <t xml:space="preserve"> をクリックしてください。</t>
    </r>
  </si>
  <si>
    <t>3. 「セキュリティ リスク：マクロの実行がブロックされました」と出る場合（重要）</t>
  </si>
  <si>
    <t>画面上部に</t>
  </si>
  <si>
    <t>「セキュリティ リスク</t>
  </si>
  <si>
    <t>このファイルのソースが信頼できないため、Microsoft によりマクロの実行がブロックされました」</t>
  </si>
  <si>
    <r>
      <t>と表示され、</t>
    </r>
    <r>
      <rPr>
        <b/>
        <sz val="11"/>
        <color theme="1"/>
        <rFont val="ＭＳ Ｐゴシック"/>
        <family val="3"/>
        <charset val="128"/>
        <scheme val="minor"/>
      </rPr>
      <t>［コンテンツの有効化］が出ない／押せない</t>
    </r>
    <r>
      <rPr>
        <sz val="11"/>
        <color theme="1"/>
        <rFont val="ＭＳ Ｐゴシック"/>
        <family val="3"/>
        <charset val="128"/>
        <scheme val="minor"/>
      </rPr>
      <t>場合は、次のどちらかで解除してください。</t>
    </r>
  </si>
  <si>
    <t>方法A：ファイルの「ブロック解除」（おすすめ）</t>
  </si>
  <si>
    <t>1. Excelを閉じる</t>
  </si>
  <si>
    <r>
      <t>2. ファイル（例：</t>
    </r>
    <r>
      <rPr>
        <sz val="10"/>
        <color theme="1"/>
        <rFont val="Arial Unicode MS"/>
        <family val="2"/>
      </rPr>
      <t>list_format.xlsm</t>
    </r>
    <r>
      <rPr>
        <sz val="11"/>
        <color theme="1"/>
        <rFont val="ＭＳ Ｐゴシック"/>
        <family val="3"/>
        <charset val="128"/>
        <scheme val="minor"/>
      </rPr>
      <t xml:space="preserve">）を右クリック → </t>
    </r>
    <r>
      <rPr>
        <b/>
        <sz val="11"/>
        <color theme="1"/>
        <rFont val="ＭＳ Ｐゴシック"/>
        <family val="3"/>
        <charset val="128"/>
        <scheme val="minor"/>
      </rPr>
      <t>［プロパティ］</t>
    </r>
  </si>
  <si>
    <r>
      <t xml:space="preserve">3. 下部の </t>
    </r>
    <r>
      <rPr>
        <b/>
        <sz val="11"/>
        <color theme="1"/>
        <rFont val="ＭＳ Ｐゴシック"/>
        <family val="3"/>
        <charset val="128"/>
        <scheme val="minor"/>
      </rPr>
      <t>［セキュリティ］</t>
    </r>
    <r>
      <rPr>
        <sz val="11"/>
        <color theme="1"/>
        <rFont val="ＭＳ Ｐゴシック"/>
        <family val="3"/>
        <charset val="128"/>
        <scheme val="minor"/>
      </rPr>
      <t xml:space="preserve"> にある </t>
    </r>
    <r>
      <rPr>
        <b/>
        <sz val="11"/>
        <color theme="1"/>
        <rFont val="ＭＳ Ｐゴシック"/>
        <family val="3"/>
        <charset val="128"/>
        <scheme val="minor"/>
      </rPr>
      <t>［許可する（ブロック解除）］</t>
    </r>
    <r>
      <rPr>
        <sz val="11"/>
        <color theme="1"/>
        <rFont val="ＭＳ Ｐゴシック"/>
        <family val="3"/>
        <charset val="128"/>
        <scheme val="minor"/>
      </rPr>
      <t xml:space="preserve"> にチェック</t>
    </r>
  </si>
  <si>
    <t>4. ［適用］→［OK］</t>
  </si>
  <si>
    <t>5. もう一度ファイルを開く</t>
  </si>
  <si>
    <t>※「許可する」が表示されない場合は、方法Bへ。</t>
  </si>
  <si>
    <t>方法B：信頼できる場所に移動して開く（社内運用向け）</t>
  </si>
  <si>
    <r>
      <t>1. Excel：</t>
    </r>
    <r>
      <rPr>
        <b/>
        <sz val="11"/>
        <color theme="1"/>
        <rFont val="ＭＳ Ｐゴシック"/>
        <family val="3"/>
        <charset val="128"/>
        <scheme val="minor"/>
      </rPr>
      <t>［ファイル］→［オプション］→［セキュリティ センター］→［セキュリティ センターの設定］</t>
    </r>
  </si>
  <si>
    <r>
      <t>2. ［信頼できる場所］</t>
    </r>
    <r>
      <rPr>
        <sz val="11"/>
        <color theme="1"/>
        <rFont val="ＭＳ Ｐゴシック"/>
        <family val="3"/>
        <charset val="128"/>
        <scheme val="minor"/>
      </rPr>
      <t xml:space="preserve"> を開き、保存先フォルダを追加</t>
    </r>
  </si>
  <si>
    <t>3. このファイルをそのフォルダに移動して開く</t>
  </si>
  <si>
    <t>4. 正しく有効になったかの確認</t>
  </si>
  <si>
    <t>マクロが有効になっている場合、ブックを開くと</t>
  </si>
  <si>
    <r>
      <t>店舗選択画面（フォーム）が表示</t>
    </r>
    <r>
      <rPr>
        <sz val="11"/>
        <color theme="1"/>
        <rFont val="ＭＳ Ｐゴシック"/>
        <family val="3"/>
        <charset val="128"/>
        <scheme val="minor"/>
      </rPr>
      <t>されます</t>
    </r>
  </si>
  <si>
    <r>
      <t>選択した店舗の行だけ編集可能</t>
    </r>
    <r>
      <rPr>
        <sz val="11"/>
        <color theme="1"/>
        <rFont val="ＭＳ Ｐゴシック"/>
        <family val="3"/>
        <charset val="128"/>
        <scheme val="minor"/>
      </rPr>
      <t>になります（それ以外は編集できません）</t>
    </r>
  </si>
  <si>
    <t>フォームが出ない／編集できない場合は、マクロが無効またはブロック状態の可能性があります。</t>
  </si>
  <si>
    <t>困ったとき</t>
  </si>
  <si>
    <t>「編集を有効にする」「コンテンツの有効化」が押せない／表示されない場合は、</t>
  </si>
  <si>
    <r>
      <t xml:space="preserve">上の </t>
    </r>
    <r>
      <rPr>
        <b/>
        <sz val="11"/>
        <color theme="1"/>
        <rFont val="ＭＳ Ｐゴシック"/>
        <family val="3"/>
        <charset val="128"/>
        <scheme val="minor"/>
      </rPr>
      <t>“3. ブロック解除”</t>
    </r>
    <r>
      <rPr>
        <sz val="11"/>
        <color theme="1"/>
        <rFont val="ＭＳ Ｐゴシック"/>
        <family val="3"/>
        <charset val="128"/>
        <scheme val="minor"/>
      </rPr>
      <t xml:space="preserve"> を先にお試しください。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</si>
</sst>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#,##0,"/>
    <numFmt numFmtId="177" formatCode="m/d\(aaa\)"/>
    <numFmt numFmtId="178" formatCode="\(#&quot;回分&quot;\)"/>
    <numFmt numFmtId="179" formatCode="0_);[Red]\(0\)"/>
    <numFmt numFmtId="180" formatCode="0.00_);[Red]\(0.00\)"/>
  </numFmts>
  <fonts count="25">
    <font>
      <sz val="11"/>
      <color theme="1"/>
      <name val="ＭＳ Ｐゴシック"/>
      <family val="3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name val="Arial"/>
      <family val="2"/>
    </font>
    <font>
      <sz val="11"/>
      <color theme="1"/>
      <name val="ＭＳ Ｐゴシック"/>
      <family val="3"/>
      <charset val="128"/>
      <scheme val="minor"/>
    </font>
    <font>
      <sz val="11"/>
      <color theme="0"/>
      <name val="ＭＳ Ｐゴシック"/>
      <family val="3"/>
      <charset val="128"/>
      <scheme val="minor"/>
    </font>
    <font>
      <sz val="11"/>
      <color rgb="FF000000"/>
      <name val="ＭＳ Ｐゴシック"/>
      <family val="3"/>
      <charset val="128"/>
    </font>
    <font>
      <sz val="10"/>
      <color rgb="FF000000"/>
      <name val="ＭＳ ゴシック"/>
      <family val="3"/>
      <charset val="128"/>
    </font>
    <font>
      <sz val="6"/>
      <name val="ＭＳ Ｐゴシック"/>
      <family val="3"/>
      <charset val="128"/>
      <scheme val="minor"/>
    </font>
    <font>
      <b/>
      <sz val="11"/>
      <color indexed="9"/>
      <name val="ＭＳ Ｐゴシック"/>
      <family val="3"/>
      <charset val="128"/>
    </font>
    <font>
      <b/>
      <sz val="24"/>
      <color theme="0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8"/>
      <color indexed="10"/>
      <name val="ＭＳ Ｐゴシック"/>
      <family val="3"/>
      <charset val="128"/>
    </font>
    <font>
      <b/>
      <sz val="11"/>
      <color rgb="FFFF0000"/>
      <name val="ＭＳ Ｐゴシック"/>
      <family val="3"/>
      <charset val="128"/>
    </font>
    <font>
      <b/>
      <sz val="11"/>
      <name val="ＭＳ Ｐゴシック"/>
      <family val="3"/>
      <charset val="128"/>
    </font>
    <font>
      <b/>
      <sz val="11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b/>
      <sz val="14"/>
      <color theme="1"/>
      <name val="ＭＳ Ｐゴシック"/>
      <family val="3"/>
      <charset val="128"/>
    </font>
    <font>
      <sz val="14"/>
      <color theme="1"/>
      <name val="ＭＳ Ｐゴシック"/>
      <family val="3"/>
      <charset val="128"/>
    </font>
    <font>
      <sz val="11"/>
      <name val="明朝"/>
      <family val="1"/>
      <charset val="128"/>
    </font>
    <font>
      <b/>
      <sz val="18"/>
      <color theme="1"/>
      <name val="ＭＳ Ｐゴシック"/>
      <family val="3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b/>
      <sz val="13.5"/>
      <color theme="1"/>
      <name val="ＭＳ Ｐゴシック"/>
      <family val="3"/>
      <charset val="128"/>
      <scheme val="minor"/>
    </font>
    <font>
      <sz val="10"/>
      <color theme="1"/>
      <name val="Arial Unicode MS"/>
      <family val="2"/>
    </font>
  </fonts>
  <fills count="10">
    <fill>
      <patternFill patternType="none"/>
    </fill>
    <fill>
      <patternFill patternType="gray125"/>
    </fill>
    <fill>
      <patternFill patternType="solid">
        <fgColor theme="7"/>
      </patternFill>
    </fill>
    <fill>
      <patternFill patternType="solid">
        <fgColor theme="1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CFFFF"/>
        <bgColor indexed="64"/>
      </patternFill>
    </fill>
  </fills>
  <borders count="4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9">
    <xf numFmtId="0" fontId="0" fillId="0" borderId="0">
      <alignment vertical="center"/>
    </xf>
    <xf numFmtId="0" fontId="6" fillId="2" borderId="0" applyNumberFormat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38" fontId="1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3" fillId="0" borderId="0"/>
    <xf numFmtId="0" fontId="1" fillId="0" borderId="0"/>
    <xf numFmtId="0" fontId="5" fillId="0" borderId="0">
      <alignment vertical="center"/>
    </xf>
    <xf numFmtId="0" fontId="1" fillId="0" borderId="0">
      <alignment vertical="center"/>
    </xf>
    <xf numFmtId="0" fontId="1" fillId="0" borderId="0"/>
    <xf numFmtId="0" fontId="7" fillId="0" borderId="0"/>
    <xf numFmtId="0" fontId="5" fillId="0" borderId="0">
      <alignment vertical="center"/>
    </xf>
    <xf numFmtId="0" fontId="4" fillId="0" borderId="0" applyBorder="0">
      <protection locked="0"/>
    </xf>
    <xf numFmtId="0" fontId="8" fillId="0" borderId="0">
      <alignment vertical="center"/>
    </xf>
    <xf numFmtId="0" fontId="1" fillId="0" borderId="0"/>
    <xf numFmtId="38" fontId="1" fillId="0" borderId="0" applyFont="0" applyFill="0" applyBorder="0" applyAlignment="0" applyProtection="0"/>
    <xf numFmtId="0" fontId="20" fillId="0" borderId="0"/>
    <xf numFmtId="38" fontId="5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5" fillId="0" borderId="0" xfId="8">
      <alignment vertical="center"/>
    </xf>
    <xf numFmtId="0" fontId="10" fillId="0" borderId="1" xfId="15" applyFont="1" applyBorder="1" applyAlignment="1">
      <alignment horizontal="left"/>
    </xf>
    <xf numFmtId="0" fontId="10" fillId="0" borderId="1" xfId="15" applyFont="1" applyBorder="1" applyAlignment="1">
      <alignment horizontal="center"/>
    </xf>
    <xf numFmtId="0" fontId="1" fillId="0" borderId="0" xfId="15"/>
    <xf numFmtId="14" fontId="1" fillId="0" borderId="0" xfId="15" applyNumberFormat="1" applyAlignment="1">
      <alignment horizontal="right"/>
    </xf>
    <xf numFmtId="9" fontId="1" fillId="0" borderId="0" xfId="2" applyFont="1" applyFill="1" applyBorder="1" applyAlignment="1" applyProtection="1">
      <alignment horizontal="right"/>
    </xf>
    <xf numFmtId="0" fontId="1" fillId="0" borderId="0" xfId="9">
      <alignment vertical="center"/>
    </xf>
    <xf numFmtId="0" fontId="12" fillId="0" borderId="0" xfId="3" applyNumberFormat="1" applyFont="1" applyAlignment="1" applyProtection="1"/>
    <xf numFmtId="38" fontId="12" fillId="0" borderId="0" xfId="3" applyFont="1" applyAlignment="1" applyProtection="1"/>
    <xf numFmtId="0" fontId="12" fillId="0" borderId="0" xfId="3" applyNumberFormat="1" applyFont="1" applyFill="1" applyAlignment="1" applyProtection="1"/>
    <xf numFmtId="0" fontId="13" fillId="0" borderId="0" xfId="3" applyNumberFormat="1" applyFont="1" applyFill="1" applyAlignment="1" applyProtection="1">
      <alignment vertical="center"/>
    </xf>
    <xf numFmtId="176" fontId="1" fillId="0" borderId="0" xfId="4" applyNumberFormat="1" applyFont="1" applyFill="1" applyBorder="1" applyAlignment="1" applyProtection="1">
      <alignment horizontal="right"/>
    </xf>
    <xf numFmtId="0" fontId="1" fillId="0" borderId="0" xfId="15" applyAlignment="1">
      <alignment horizontal="right"/>
    </xf>
    <xf numFmtId="0" fontId="1" fillId="0" borderId="0" xfId="2" applyNumberFormat="1" applyFont="1" applyFill="1" applyBorder="1" applyAlignment="1" applyProtection="1">
      <alignment horizontal="right"/>
    </xf>
    <xf numFmtId="14" fontId="1" fillId="0" borderId="1" xfId="15" applyNumberFormat="1" applyBorder="1" applyAlignment="1">
      <alignment horizontal="right"/>
    </xf>
    <xf numFmtId="9" fontId="1" fillId="0" borderId="1" xfId="2" applyFont="1" applyFill="1" applyBorder="1" applyAlignment="1" applyProtection="1">
      <alignment horizontal="right"/>
    </xf>
    <xf numFmtId="0" fontId="15" fillId="4" borderId="28" xfId="15" applyFont="1" applyFill="1" applyBorder="1" applyAlignment="1">
      <alignment horizontal="left"/>
    </xf>
    <xf numFmtId="0" fontId="15" fillId="4" borderId="7" xfId="15" applyFont="1" applyFill="1" applyBorder="1" applyAlignment="1">
      <alignment horizontal="center"/>
    </xf>
    <xf numFmtId="9" fontId="15" fillId="4" borderId="3" xfId="2" applyFont="1" applyFill="1" applyBorder="1" applyAlignment="1" applyProtection="1">
      <alignment horizontal="center"/>
    </xf>
    <xf numFmtId="177" fontId="5" fillId="0" borderId="0" xfId="8" applyNumberFormat="1">
      <alignment vertical="center"/>
    </xf>
    <xf numFmtId="177" fontId="15" fillId="5" borderId="9" xfId="15" applyNumberFormat="1" applyFont="1" applyFill="1" applyBorder="1" applyAlignment="1">
      <alignment horizontal="left" shrinkToFit="1"/>
    </xf>
    <xf numFmtId="177" fontId="15" fillId="5" borderId="10" xfId="15" applyNumberFormat="1" applyFont="1" applyFill="1" applyBorder="1" applyAlignment="1">
      <alignment horizontal="center" shrinkToFit="1"/>
    </xf>
    <xf numFmtId="177" fontId="15" fillId="5" borderId="11" xfId="15" applyNumberFormat="1" applyFont="1" applyFill="1" applyBorder="1" applyAlignment="1">
      <alignment horizontal="center" shrinkToFit="1"/>
    </xf>
    <xf numFmtId="177" fontId="15" fillId="6" borderId="14" xfId="3" applyNumberFormat="1" applyFont="1" applyFill="1" applyBorder="1" applyAlignment="1" applyProtection="1">
      <alignment shrinkToFit="1"/>
    </xf>
    <xf numFmtId="177" fontId="15" fillId="6" borderId="15" xfId="3" applyNumberFormat="1" applyFont="1" applyFill="1" applyBorder="1" applyAlignment="1" applyProtection="1">
      <alignment horizontal="center" shrinkToFit="1"/>
    </xf>
    <xf numFmtId="177" fontId="15" fillId="7" borderId="14" xfId="3" applyNumberFormat="1" applyFont="1" applyFill="1" applyBorder="1" applyAlignment="1" applyProtection="1">
      <alignment shrinkToFit="1"/>
    </xf>
    <xf numFmtId="177" fontId="15" fillId="7" borderId="15" xfId="3" applyNumberFormat="1" applyFont="1" applyFill="1" applyBorder="1" applyAlignment="1" applyProtection="1">
      <alignment horizontal="center" shrinkToFit="1"/>
    </xf>
    <xf numFmtId="177" fontId="15" fillId="8" borderId="9" xfId="15" applyNumberFormat="1" applyFont="1" applyFill="1" applyBorder="1" applyAlignment="1">
      <alignment horizontal="center" shrinkToFit="1"/>
    </xf>
    <xf numFmtId="56" fontId="15" fillId="9" borderId="4" xfId="15" applyNumberFormat="1" applyFont="1" applyFill="1" applyBorder="1" applyAlignment="1">
      <alignment horizontal="left" vertical="center" wrapText="1"/>
    </xf>
    <xf numFmtId="56" fontId="15" fillId="5" borderId="5" xfId="15" applyNumberFormat="1" applyFont="1" applyFill="1" applyBorder="1" applyAlignment="1">
      <alignment vertical="center" wrapText="1"/>
    </xf>
    <xf numFmtId="0" fontId="15" fillId="8" borderId="29" xfId="15" applyFont="1" applyFill="1" applyBorder="1" applyAlignment="1">
      <alignment horizontal="center" vertical="center" wrapText="1"/>
    </xf>
    <xf numFmtId="56" fontId="15" fillId="5" borderId="4" xfId="15" applyNumberFormat="1" applyFont="1" applyFill="1" applyBorder="1" applyAlignment="1">
      <alignment horizontal="left"/>
    </xf>
    <xf numFmtId="0" fontId="15" fillId="6" borderId="5" xfId="15" applyFont="1" applyFill="1" applyBorder="1"/>
    <xf numFmtId="38" fontId="15" fillId="6" borderId="0" xfId="3" applyFont="1" applyFill="1" applyBorder="1" applyAlignment="1" applyProtection="1">
      <alignment horizontal="left"/>
    </xf>
    <xf numFmtId="38" fontId="15" fillId="6" borderId="8" xfId="3" applyFont="1" applyFill="1" applyBorder="1" applyAlignment="1" applyProtection="1">
      <alignment horizontal="right"/>
    </xf>
    <xf numFmtId="178" fontId="15" fillId="8" borderId="32" xfId="3" applyNumberFormat="1" applyFont="1" applyFill="1" applyBorder="1" applyAlignment="1" applyProtection="1">
      <alignment horizontal="center" wrapText="1"/>
    </xf>
    <xf numFmtId="56" fontId="15" fillId="5" borderId="6" xfId="15" applyNumberFormat="1" applyFont="1" applyFill="1" applyBorder="1" applyAlignment="1">
      <alignment horizontal="left" shrinkToFit="1"/>
    </xf>
    <xf numFmtId="40" fontId="15" fillId="0" borderId="21" xfId="3" applyNumberFormat="1" applyFont="1" applyFill="1" applyBorder="1" applyAlignment="1" applyProtection="1">
      <alignment shrinkToFit="1"/>
    </xf>
    <xf numFmtId="40" fontId="15" fillId="0" borderId="22" xfId="15" applyNumberFormat="1" applyFont="1" applyBorder="1" applyAlignment="1">
      <alignment horizontal="left" shrinkToFit="1"/>
    </xf>
    <xf numFmtId="40" fontId="15" fillId="0" borderId="23" xfId="4" applyNumberFormat="1" applyFont="1" applyFill="1" applyBorder="1" applyAlignment="1" applyProtection="1">
      <alignment horizontal="right" shrinkToFit="1"/>
    </xf>
    <xf numFmtId="0" fontId="15" fillId="8" borderId="6" xfId="3" applyNumberFormat="1" applyFont="1" applyFill="1" applyBorder="1" applyAlignment="1" applyProtection="1">
      <alignment shrinkToFit="1"/>
    </xf>
    <xf numFmtId="0" fontId="17" fillId="0" borderId="33" xfId="15" applyFont="1" applyBorder="1" applyAlignment="1">
      <alignment horizontal="center"/>
    </xf>
    <xf numFmtId="0" fontId="17" fillId="0" borderId="34" xfId="15" applyFont="1" applyBorder="1" applyAlignment="1">
      <alignment horizontal="center"/>
    </xf>
    <xf numFmtId="0" fontId="17" fillId="0" borderId="35" xfId="15" applyFont="1" applyBorder="1" applyAlignment="1">
      <alignment horizontal="center"/>
    </xf>
    <xf numFmtId="179" fontId="16" fillId="0" borderId="33" xfId="3" applyNumberFormat="1" applyFont="1" applyBorder="1" applyAlignment="1" applyProtection="1">
      <alignment horizontal="center"/>
    </xf>
    <xf numFmtId="0" fontId="16" fillId="0" borderId="35" xfId="15" quotePrefix="1" applyFont="1" applyBorder="1" applyAlignment="1">
      <alignment horizontal="center"/>
    </xf>
    <xf numFmtId="38" fontId="16" fillId="0" borderId="36" xfId="3" applyFont="1" applyBorder="1" applyAlignment="1" applyProtection="1">
      <alignment horizontal="center"/>
    </xf>
    <xf numFmtId="38" fontId="16" fillId="0" borderId="6" xfId="3" applyFont="1" applyBorder="1" applyAlignment="1" applyProtection="1">
      <alignment horizontal="center"/>
    </xf>
    <xf numFmtId="38" fontId="16" fillId="0" borderId="34" xfId="3" applyFont="1" applyBorder="1" applyAlignment="1" applyProtection="1">
      <alignment horizontal="center"/>
    </xf>
    <xf numFmtId="38" fontId="16" fillId="0" borderId="7" xfId="3" applyFont="1" applyBorder="1" applyAlignment="1" applyProtection="1">
      <alignment horizontal="center"/>
    </xf>
    <xf numFmtId="9" fontId="16" fillId="0" borderId="36" xfId="2" applyFont="1" applyBorder="1" applyAlignment="1" applyProtection="1">
      <alignment horizontal="center"/>
    </xf>
    <xf numFmtId="0" fontId="5" fillId="0" borderId="0" xfId="8" applyAlignment="1">
      <alignment horizontal="center" vertical="center"/>
    </xf>
    <xf numFmtId="38" fontId="5" fillId="0" borderId="17" xfId="4" applyFont="1" applyFill="1" applyBorder="1" applyAlignment="1" applyProtection="1">
      <alignment horizontal="right" shrinkToFit="1"/>
    </xf>
    <xf numFmtId="176" fontId="17" fillId="0" borderId="17" xfId="15" applyNumberFormat="1" applyFont="1" applyBorder="1" applyAlignment="1">
      <alignment shrinkToFit="1"/>
    </xf>
    <xf numFmtId="9" fontId="17" fillId="0" borderId="25" xfId="2" applyFont="1" applyFill="1" applyBorder="1" applyAlignment="1" applyProtection="1">
      <alignment shrinkToFit="1"/>
    </xf>
    <xf numFmtId="176" fontId="17" fillId="0" borderId="24" xfId="3" applyNumberFormat="1" applyFont="1" applyFill="1" applyBorder="1" applyAlignment="1" applyProtection="1">
      <alignment horizontal="right" shrinkToFit="1"/>
    </xf>
    <xf numFmtId="9" fontId="17" fillId="0" borderId="27" xfId="2" applyFont="1" applyFill="1" applyBorder="1" applyAlignment="1" applyProtection="1">
      <alignment shrinkToFit="1"/>
    </xf>
    <xf numFmtId="38" fontId="16" fillId="5" borderId="33" xfId="4" applyFont="1" applyFill="1" applyBorder="1" applyAlignment="1" applyProtection="1">
      <alignment shrinkToFit="1"/>
    </xf>
    <xf numFmtId="176" fontId="16" fillId="5" borderId="3" xfId="3" applyNumberFormat="1" applyFont="1" applyFill="1" applyBorder="1" applyAlignment="1" applyProtection="1">
      <alignment shrinkToFit="1"/>
    </xf>
    <xf numFmtId="176" fontId="16" fillId="5" borderId="28" xfId="3" applyNumberFormat="1" applyFont="1" applyFill="1" applyBorder="1" applyAlignment="1" applyProtection="1">
      <alignment shrinkToFit="1"/>
    </xf>
    <xf numFmtId="9" fontId="16" fillId="5" borderId="37" xfId="2" applyFont="1" applyFill="1" applyBorder="1" applyAlignment="1" applyProtection="1">
      <alignment shrinkToFit="1"/>
    </xf>
    <xf numFmtId="176" fontId="17" fillId="0" borderId="24" xfId="3" applyNumberFormat="1" applyFont="1" applyFill="1" applyBorder="1" applyAlignment="1" applyProtection="1">
      <alignment shrinkToFit="1"/>
    </xf>
    <xf numFmtId="176" fontId="17" fillId="0" borderId="26" xfId="3" applyNumberFormat="1" applyFont="1" applyFill="1" applyBorder="1" applyAlignment="1" applyProtection="1">
      <alignment shrinkToFit="1"/>
    </xf>
    <xf numFmtId="0" fontId="18" fillId="9" borderId="39" xfId="15" applyFont="1" applyFill="1" applyBorder="1" applyAlignment="1">
      <alignment horizontal="left" vertical="center" shrinkToFit="1"/>
    </xf>
    <xf numFmtId="180" fontId="19" fillId="0" borderId="38" xfId="15" applyNumberFormat="1" applyFont="1" applyBorder="1" applyAlignment="1">
      <alignment vertical="center" shrinkToFit="1"/>
    </xf>
    <xf numFmtId="9" fontId="16" fillId="5" borderId="36" xfId="2" applyFont="1" applyFill="1" applyBorder="1" applyAlignment="1" applyProtection="1">
      <alignment shrinkToFit="1"/>
    </xf>
    <xf numFmtId="176" fontId="16" fillId="5" borderId="35" xfId="3" applyNumberFormat="1" applyFont="1" applyFill="1" applyBorder="1" applyAlignment="1" applyProtection="1">
      <alignment shrinkToFit="1"/>
    </xf>
    <xf numFmtId="38" fontId="16" fillId="5" borderId="36" xfId="4" applyFont="1" applyFill="1" applyBorder="1" applyAlignment="1" applyProtection="1">
      <alignment shrinkToFit="1"/>
    </xf>
    <xf numFmtId="0" fontId="18" fillId="5" borderId="2" xfId="15" applyFont="1" applyFill="1" applyBorder="1" applyAlignment="1">
      <alignment horizontal="left" shrinkToFit="1"/>
    </xf>
    <xf numFmtId="0" fontId="18" fillId="5" borderId="7" xfId="15" applyFont="1" applyFill="1" applyBorder="1" applyAlignment="1">
      <alignment horizontal="left" shrinkToFit="1"/>
    </xf>
    <xf numFmtId="38" fontId="15" fillId="5" borderId="11" xfId="3" applyFont="1" applyFill="1" applyBorder="1" applyAlignment="1" applyProtection="1"/>
    <xf numFmtId="38" fontId="15" fillId="5" borderId="12" xfId="3" applyFont="1" applyFill="1" applyBorder="1" applyAlignment="1" applyProtection="1"/>
    <xf numFmtId="38" fontId="15" fillId="5" borderId="0" xfId="3" applyFont="1" applyFill="1" applyBorder="1" applyAlignment="1" applyProtection="1"/>
    <xf numFmtId="38" fontId="15" fillId="5" borderId="8" xfId="3" applyFont="1" applyFill="1" applyBorder="1" applyAlignment="1" applyProtection="1"/>
    <xf numFmtId="38" fontId="15" fillId="5" borderId="1" xfId="3" applyFont="1" applyFill="1" applyBorder="1" applyAlignment="1" applyProtection="1"/>
    <xf numFmtId="38" fontId="15" fillId="5" borderId="13" xfId="3" applyFont="1" applyFill="1" applyBorder="1" applyAlignment="1" applyProtection="1"/>
    <xf numFmtId="177" fontId="15" fillId="6" borderId="15" xfId="3" applyNumberFormat="1" applyFont="1" applyFill="1" applyBorder="1" applyAlignment="1" applyProtection="1">
      <alignment shrinkToFit="1"/>
    </xf>
    <xf numFmtId="0" fontId="0" fillId="0" borderId="0" xfId="8" applyFont="1">
      <alignment vertical="center"/>
    </xf>
    <xf numFmtId="177" fontId="5" fillId="0" borderId="0" xfId="8" applyNumberFormat="1" applyAlignment="1">
      <alignment horizontal="center" vertical="center"/>
    </xf>
    <xf numFmtId="56" fontId="15" fillId="5" borderId="30" xfId="15" applyNumberFormat="1" applyFont="1" applyFill="1" applyBorder="1" applyAlignment="1">
      <alignment horizontal="center"/>
    </xf>
    <xf numFmtId="56" fontId="15" fillId="5" borderId="31" xfId="15" applyNumberFormat="1" applyFont="1" applyFill="1" applyBorder="1" applyAlignment="1">
      <alignment horizontal="center"/>
    </xf>
    <xf numFmtId="56" fontId="15" fillId="5" borderId="40" xfId="15" applyNumberFormat="1" applyFont="1" applyFill="1" applyBorder="1" applyAlignment="1">
      <alignment horizontal="center"/>
    </xf>
    <xf numFmtId="176" fontId="17" fillId="0" borderId="27" xfId="18" applyNumberFormat="1" applyFont="1" applyFill="1" applyBorder="1" applyAlignment="1" applyProtection="1">
      <alignment horizontal="right" shrinkToFit="1"/>
    </xf>
    <xf numFmtId="38" fontId="16" fillId="5" borderId="35" xfId="4" applyFont="1" applyFill="1" applyBorder="1" applyAlignment="1" applyProtection="1">
      <alignment shrinkToFit="1"/>
    </xf>
    <xf numFmtId="38" fontId="16" fillId="5" borderId="28" xfId="4" applyFont="1" applyFill="1" applyBorder="1" applyAlignment="1" applyProtection="1">
      <alignment shrinkToFit="1"/>
    </xf>
    <xf numFmtId="176" fontId="16" fillId="5" borderId="33" xfId="3" applyNumberFormat="1" applyFont="1" applyFill="1" applyBorder="1" applyAlignment="1" applyProtection="1">
      <alignment shrinkToFit="1"/>
    </xf>
    <xf numFmtId="38" fontId="15" fillId="7" borderId="30" xfId="3" applyFont="1" applyFill="1" applyBorder="1" applyAlignment="1" applyProtection="1">
      <alignment horizontal="left"/>
    </xf>
    <xf numFmtId="38" fontId="15" fillId="7" borderId="31" xfId="3" applyFont="1" applyFill="1" applyBorder="1" applyAlignment="1" applyProtection="1">
      <alignment horizontal="left"/>
    </xf>
    <xf numFmtId="38" fontId="15" fillId="7" borderId="40" xfId="3" applyFont="1" applyFill="1" applyBorder="1" applyAlignment="1" applyProtection="1">
      <alignment horizontal="right"/>
    </xf>
    <xf numFmtId="177" fontId="15" fillId="5" borderId="12" xfId="15" applyNumberFormat="1" applyFont="1" applyFill="1" applyBorder="1" applyAlignment="1">
      <alignment horizontal="center" shrinkToFit="1"/>
    </xf>
    <xf numFmtId="56" fontId="15" fillId="5" borderId="0" xfId="15" applyNumberFormat="1" applyFont="1" applyFill="1" applyBorder="1" applyAlignment="1">
      <alignment horizontal="center" vertical="center" wrapText="1"/>
    </xf>
    <xf numFmtId="56" fontId="15" fillId="5" borderId="0" xfId="15" applyNumberFormat="1" applyFont="1" applyFill="1" applyBorder="1" applyAlignment="1">
      <alignment vertical="center" wrapText="1"/>
    </xf>
    <xf numFmtId="56" fontId="15" fillId="5" borderId="8" xfId="15" applyNumberFormat="1" applyFont="1" applyFill="1" applyBorder="1" applyAlignment="1">
      <alignment vertical="center" wrapText="1"/>
    </xf>
    <xf numFmtId="38" fontId="5" fillId="0" borderId="42" xfId="4" applyFont="1" applyFill="1" applyBorder="1" applyAlignment="1" applyProtection="1">
      <alignment horizontal="right" shrinkToFit="1"/>
    </xf>
    <xf numFmtId="38" fontId="5" fillId="0" borderId="26" xfId="4" applyFont="1" applyFill="1" applyBorder="1" applyAlignment="1" applyProtection="1">
      <alignment horizontal="right" shrinkToFit="1"/>
    </xf>
    <xf numFmtId="0" fontId="18" fillId="9" borderId="41" xfId="15" applyFont="1" applyFill="1" applyBorder="1" applyAlignment="1">
      <alignment horizontal="left" vertical="center" shrinkToFit="1"/>
    </xf>
    <xf numFmtId="180" fontId="19" fillId="0" borderId="42" xfId="3" applyNumberFormat="1" applyFont="1" applyFill="1" applyBorder="1" applyAlignment="1" applyProtection="1">
      <alignment vertical="center" shrinkToFit="1"/>
    </xf>
    <xf numFmtId="180" fontId="19" fillId="0" borderId="43" xfId="3" applyNumberFormat="1" applyFont="1" applyFill="1" applyBorder="1" applyAlignment="1" applyProtection="1">
      <alignment vertical="center" shrinkToFit="1"/>
    </xf>
    <xf numFmtId="176" fontId="17" fillId="0" borderId="44" xfId="3" applyNumberFormat="1" applyFont="1" applyFill="1" applyBorder="1" applyAlignment="1" applyProtection="1">
      <alignment horizontal="right" shrinkToFit="1"/>
    </xf>
    <xf numFmtId="176" fontId="17" fillId="0" borderId="25" xfId="18" applyNumberFormat="1" applyFont="1" applyFill="1" applyBorder="1" applyAlignment="1" applyProtection="1">
      <alignment horizontal="right" shrinkToFit="1"/>
    </xf>
    <xf numFmtId="38" fontId="5" fillId="0" borderId="14" xfId="4" applyFont="1" applyFill="1" applyBorder="1" applyAlignment="1" applyProtection="1">
      <alignment horizontal="right" shrinkToFit="1"/>
    </xf>
    <xf numFmtId="176" fontId="17" fillId="0" borderId="14" xfId="15" applyNumberFormat="1" applyFont="1" applyBorder="1" applyAlignment="1">
      <alignment shrinkToFit="1"/>
    </xf>
    <xf numFmtId="176" fontId="17" fillId="0" borderId="42" xfId="3" applyNumberFormat="1" applyFont="1" applyFill="1" applyBorder="1" applyAlignment="1" applyProtection="1">
      <alignment shrinkToFit="1"/>
    </xf>
    <xf numFmtId="176" fontId="17" fillId="0" borderId="15" xfId="3" applyNumberFormat="1" applyFont="1" applyFill="1" applyBorder="1" applyAlignment="1" applyProtection="1">
      <alignment shrinkToFit="1"/>
    </xf>
    <xf numFmtId="180" fontId="19" fillId="0" borderId="26" xfId="3" applyNumberFormat="1" applyFont="1" applyFill="1" applyBorder="1" applyAlignment="1" applyProtection="1">
      <alignment vertical="center" shrinkToFit="1"/>
    </xf>
    <xf numFmtId="180" fontId="19" fillId="0" borderId="38" xfId="3" applyNumberFormat="1" applyFont="1" applyFill="1" applyBorder="1" applyAlignment="1" applyProtection="1">
      <alignment vertical="center" shrinkToFit="1"/>
    </xf>
    <xf numFmtId="176" fontId="17" fillId="0" borderId="16" xfId="3" applyNumberFormat="1" applyFont="1" applyFill="1" applyBorder="1" applyAlignment="1" applyProtection="1">
      <alignment shrinkToFit="1"/>
    </xf>
    <xf numFmtId="0" fontId="17" fillId="0" borderId="36" xfId="15" applyFont="1" applyBorder="1" applyAlignment="1">
      <alignment horizontal="center"/>
    </xf>
    <xf numFmtId="180" fontId="19" fillId="0" borderId="45" xfId="3" applyNumberFormat="1" applyFont="1" applyFill="1" applyBorder="1" applyAlignment="1" applyProtection="1">
      <alignment vertical="center" shrinkToFit="1"/>
    </xf>
    <xf numFmtId="180" fontId="19" fillId="0" borderId="46" xfId="3" applyNumberFormat="1" applyFont="1" applyFill="1" applyBorder="1" applyAlignment="1" applyProtection="1">
      <alignment vertical="center" shrinkToFit="1"/>
    </xf>
    <xf numFmtId="180" fontId="19" fillId="0" borderId="46" xfId="15" applyNumberFormat="1" applyFont="1" applyBorder="1" applyAlignment="1">
      <alignment vertical="center" shrinkToFit="1"/>
    </xf>
    <xf numFmtId="0" fontId="18" fillId="5" borderId="3" xfId="15" applyFont="1" applyFill="1" applyBorder="1" applyAlignment="1">
      <alignment horizontal="left" shrinkToFit="1"/>
    </xf>
    <xf numFmtId="177" fontId="15" fillId="7" borderId="45" xfId="3" applyNumberFormat="1" applyFont="1" applyFill="1" applyBorder="1" applyAlignment="1" applyProtection="1">
      <alignment shrinkToFit="1"/>
    </xf>
    <xf numFmtId="0" fontId="17" fillId="0" borderId="28" xfId="15" applyFont="1" applyBorder="1" applyAlignment="1">
      <alignment horizontal="left"/>
    </xf>
    <xf numFmtId="180" fontId="19" fillId="0" borderId="26" xfId="15" applyNumberFormat="1" applyFont="1" applyBorder="1" applyAlignment="1">
      <alignment vertical="center" shrinkToFit="1"/>
    </xf>
    <xf numFmtId="38" fontId="11" fillId="3" borderId="0" xfId="3" applyFont="1" applyFill="1" applyAlignment="1" applyProtection="1">
      <alignment horizontal="center" vertical="center"/>
    </xf>
    <xf numFmtId="0" fontId="14" fillId="0" borderId="1" xfId="15" applyFont="1" applyBorder="1" applyAlignment="1">
      <alignment horizontal="center"/>
    </xf>
    <xf numFmtId="0" fontId="10" fillId="4" borderId="2" xfId="15" applyFont="1" applyFill="1" applyBorder="1" applyAlignment="1">
      <alignment horizontal="center"/>
    </xf>
    <xf numFmtId="0" fontId="10" fillId="4" borderId="7" xfId="15" applyFont="1" applyFill="1" applyBorder="1" applyAlignment="1">
      <alignment horizontal="center"/>
    </xf>
    <xf numFmtId="0" fontId="10" fillId="4" borderId="3" xfId="15" applyFont="1" applyFill="1" applyBorder="1" applyAlignment="1">
      <alignment horizontal="center"/>
    </xf>
    <xf numFmtId="38" fontId="15" fillId="7" borderId="20" xfId="3" applyFont="1" applyFill="1" applyBorder="1" applyAlignment="1" applyProtection="1">
      <alignment horizontal="center" vertical="center" wrapText="1"/>
    </xf>
    <xf numFmtId="38" fontId="15" fillId="7" borderId="18" xfId="3" applyFont="1" applyFill="1" applyBorder="1" applyAlignment="1" applyProtection="1">
      <alignment horizontal="center" vertical="center" wrapText="1"/>
    </xf>
    <xf numFmtId="38" fontId="15" fillId="7" borderId="19" xfId="3" applyFont="1" applyFill="1" applyBorder="1" applyAlignment="1" applyProtection="1">
      <alignment horizontal="center" vertical="center" wrapText="1"/>
    </xf>
    <xf numFmtId="38" fontId="15" fillId="6" borderId="20" xfId="3" applyFont="1" applyFill="1" applyBorder="1" applyAlignment="1" applyProtection="1">
      <alignment horizontal="center" vertical="center" wrapText="1"/>
    </xf>
    <xf numFmtId="38" fontId="15" fillId="6" borderId="18" xfId="3" applyFont="1" applyFill="1" applyBorder="1" applyAlignment="1" applyProtection="1">
      <alignment horizontal="center" vertical="center" wrapText="1"/>
    </xf>
    <xf numFmtId="38" fontId="15" fillId="6" borderId="19" xfId="3" applyFont="1" applyFill="1" applyBorder="1" applyAlignment="1" applyProtection="1">
      <alignment horizontal="center" vertical="center" wrapText="1"/>
    </xf>
    <xf numFmtId="0" fontId="18" fillId="5" borderId="2" xfId="15" applyFont="1" applyFill="1" applyBorder="1" applyAlignment="1">
      <alignment horizontal="center" vertical="center" shrinkToFit="1"/>
    </xf>
    <xf numFmtId="0" fontId="18" fillId="5" borderId="7" xfId="15" applyFont="1" applyFill="1" applyBorder="1" applyAlignment="1">
      <alignment horizontal="center" vertical="center" shrinkToFit="1"/>
    </xf>
    <xf numFmtId="0" fontId="18" fillId="5" borderId="3" xfId="15" applyFont="1" applyFill="1" applyBorder="1" applyAlignment="1">
      <alignment horizontal="center" vertical="center" shrinkToFit="1"/>
    </xf>
    <xf numFmtId="56" fontId="15" fillId="5" borderId="21" xfId="15" applyNumberFormat="1" applyFont="1" applyFill="1" applyBorder="1" applyAlignment="1">
      <alignment shrinkToFit="1"/>
    </xf>
    <xf numFmtId="56" fontId="15" fillId="5" borderId="22" xfId="15" applyNumberFormat="1" applyFont="1" applyFill="1" applyBorder="1" applyAlignment="1">
      <alignment shrinkToFit="1"/>
    </xf>
    <xf numFmtId="56" fontId="15" fillId="5" borderId="23" xfId="15" applyNumberFormat="1" applyFont="1" applyFill="1" applyBorder="1" applyAlignment="1">
      <alignment shrinkToFit="1"/>
    </xf>
    <xf numFmtId="0" fontId="15" fillId="4" borderId="28" xfId="15" applyFont="1" applyFill="1" applyBorder="1" applyAlignment="1">
      <alignment horizontal="center"/>
    </xf>
    <xf numFmtId="0" fontId="21" fillId="8" borderId="0" xfId="0" applyFont="1" applyFill="1">
      <alignment vertical="center"/>
    </xf>
    <xf numFmtId="0" fontId="0" fillId="8" borderId="0" xfId="0" applyFill="1">
      <alignment vertical="center"/>
    </xf>
    <xf numFmtId="0" fontId="22" fillId="8" borderId="0" xfId="0" applyFont="1" applyFill="1">
      <alignment vertical="center"/>
    </xf>
    <xf numFmtId="0" fontId="23" fillId="8" borderId="0" xfId="0" applyFont="1" applyFill="1">
      <alignment vertical="center"/>
    </xf>
    <xf numFmtId="0" fontId="0" fillId="8" borderId="0" xfId="0" applyFill="1" applyAlignment="1">
      <alignment horizontal="left" vertical="center" indent="1"/>
    </xf>
    <xf numFmtId="0" fontId="22" fillId="8" borderId="0" xfId="0" applyFont="1" applyFill="1" applyAlignment="1">
      <alignment horizontal="left" vertical="center" indent="1"/>
    </xf>
  </cellXfs>
  <cellStyles count="19">
    <cellStyle name="アクセント 4 2" xfId="1" xr:uid="{00000000-0005-0000-0000-000000000000}"/>
    <cellStyle name="スタイル 1" xfId="17" xr:uid="{00000000-0005-0000-0000-000001000000}"/>
    <cellStyle name="パーセント 2" xfId="2" xr:uid="{00000000-0005-0000-0000-000002000000}"/>
    <cellStyle name="桁区切り" xfId="18" builtinId="6"/>
    <cellStyle name="桁区切り 2" xfId="3" xr:uid="{00000000-0005-0000-0000-000003000000}"/>
    <cellStyle name="桁区切り 3" xfId="4" xr:uid="{00000000-0005-0000-0000-000004000000}"/>
    <cellStyle name="桁区切り 4" xfId="16" xr:uid="{00000000-0005-0000-0000-000005000000}"/>
    <cellStyle name="桁区切り 4 2" xfId="5" xr:uid="{00000000-0005-0000-0000-000006000000}"/>
    <cellStyle name="標準" xfId="0" builtinId="0"/>
    <cellStyle name="標準 2" xfId="6" xr:uid="{00000000-0005-0000-0000-000008000000}"/>
    <cellStyle name="標準 2 2" xfId="7" xr:uid="{00000000-0005-0000-0000-000009000000}"/>
    <cellStyle name="標準 3" xfId="8" xr:uid="{00000000-0005-0000-0000-00000A000000}"/>
    <cellStyle name="標準 4" xfId="9" xr:uid="{00000000-0005-0000-0000-00000B000000}"/>
    <cellStyle name="標準 5" xfId="10" xr:uid="{00000000-0005-0000-0000-00000C000000}"/>
    <cellStyle name="標準 6" xfId="11" xr:uid="{00000000-0005-0000-0000-00000D000000}"/>
    <cellStyle name="標準 6 2" xfId="12" xr:uid="{00000000-0005-0000-0000-00000E000000}"/>
    <cellStyle name="標準 7" xfId="13" xr:uid="{00000000-0005-0000-0000-00000F000000}"/>
    <cellStyle name="標準 8" xfId="14" xr:uid="{00000000-0005-0000-0000-000010000000}"/>
    <cellStyle name="標準_04.12ﾁﾗｼ費調整表" xfId="15" xr:uid="{00000000-0005-0000-0000-000011000000}"/>
  </cellStyles>
  <dxfs count="0"/>
  <tableStyles count="0" defaultTableStyle="TableStyleMedium2" defaultPivotStyle="PivotStyleLight16"/>
  <colors>
    <mruColors>
      <color rgb="FFFFFF00"/>
      <color rgb="FFFDF2E7"/>
      <color rgb="FFFCEEE0"/>
      <color rgb="FFFEF9F4"/>
      <color rgb="FFFDEDD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kimura/Downloads/&#12503;&#12521;&#12531;&#20837;&#21147;&#12471;&#12540;&#12488;&#65288;&#12469;&#12531;&#12503;&#12523;&#65289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マクロ有効化"/>
      <sheetName val="List"/>
      <sheetName val="ValidationLists"/>
      <sheetName val="ValidationPairs"/>
      <sheetName val="_prices"/>
      <sheetName val="_dv_lists"/>
    </sheetNames>
    <sheetDataSet>
      <sheetData sheetId="0"/>
      <sheetData sheetId="1"/>
      <sheetData sheetId="2"/>
      <sheetData sheetId="3"/>
      <sheetData sheetId="4">
        <row r="2">
          <cell r="A2" t="str">
            <v>B全</v>
          </cell>
          <cell r="B2">
            <v>0</v>
          </cell>
        </row>
        <row r="3">
          <cell r="A3" t="str">
            <v>B2</v>
          </cell>
          <cell r="B3">
            <v>0</v>
          </cell>
        </row>
        <row r="4">
          <cell r="A4" t="str">
            <v>B3</v>
          </cell>
          <cell r="B4">
            <v>0</v>
          </cell>
        </row>
        <row r="5">
          <cell r="A5" t="str">
            <v>B4</v>
          </cell>
          <cell r="B5">
            <v>1.6</v>
          </cell>
        </row>
      </sheetData>
      <sheetData sheetId="5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B0B492-08DE-4605-811E-9D6BB4259A96}">
  <sheetPr codeName="Sheet6"/>
  <dimension ref="A1:A70"/>
  <sheetViews>
    <sheetView showGridLines="0" tabSelected="1" workbookViewId="0"/>
  </sheetViews>
  <sheetFormatPr defaultRowHeight="13.5"/>
  <cols>
    <col min="1" max="16384" width="9" style="135"/>
  </cols>
  <sheetData>
    <row r="1" spans="1:1" ht="21">
      <c r="A1" s="134" t="s">
        <v>210</v>
      </c>
    </row>
    <row r="3" spans="1:1">
      <c r="A3" s="135" t="s">
        <v>211</v>
      </c>
    </row>
    <row r="4" spans="1:1">
      <c r="A4" s="136" t="s">
        <v>212</v>
      </c>
    </row>
    <row r="8" spans="1:1" ht="21">
      <c r="A8" s="134" t="s">
        <v>213</v>
      </c>
    </row>
    <row r="10" spans="1:1">
      <c r="A10" s="135" t="s">
        <v>214</v>
      </c>
    </row>
    <row r="11" spans="1:1">
      <c r="A11" s="136" t="s">
        <v>215</v>
      </c>
    </row>
    <row r="15" spans="1:1" ht="21">
      <c r="A15" s="134" t="s">
        <v>216</v>
      </c>
    </row>
    <row r="17" spans="1:1">
      <c r="A17" s="135" t="s">
        <v>217</v>
      </c>
    </row>
    <row r="18" spans="1:1">
      <c r="A18" s="136" t="s">
        <v>218</v>
      </c>
    </row>
    <row r="22" spans="1:1" ht="21">
      <c r="A22" s="134" t="s">
        <v>219</v>
      </c>
    </row>
    <row r="24" spans="1:1">
      <c r="A24" s="135" t="s">
        <v>220</v>
      </c>
    </row>
    <row r="26" spans="1:1">
      <c r="A26" s="136" t="s">
        <v>221</v>
      </c>
    </row>
    <row r="27" spans="1:1">
      <c r="A27" s="136" t="s">
        <v>222</v>
      </c>
    </row>
    <row r="29" spans="1:1">
      <c r="A29" s="135" t="s">
        <v>223</v>
      </c>
    </row>
    <row r="31" spans="1:1" ht="16.5">
      <c r="A31" s="137" t="s">
        <v>224</v>
      </c>
    </row>
    <row r="32" spans="1:1">
      <c r="A32" s="138"/>
    </row>
    <row r="33" spans="1:1">
      <c r="A33" s="138" t="s">
        <v>225</v>
      </c>
    </row>
    <row r="34" spans="1:1">
      <c r="A34" s="138"/>
    </row>
    <row r="35" spans="1:1">
      <c r="A35" s="138" t="s">
        <v>226</v>
      </c>
    </row>
    <row r="36" spans="1:1">
      <c r="A36" s="138"/>
    </row>
    <row r="37" spans="1:1">
      <c r="A37" s="138" t="s">
        <v>227</v>
      </c>
    </row>
    <row r="38" spans="1:1">
      <c r="A38" s="138"/>
    </row>
    <row r="39" spans="1:1">
      <c r="A39" s="139" t="s">
        <v>228</v>
      </c>
    </row>
    <row r="40" spans="1:1">
      <c r="A40" s="138"/>
    </row>
    <row r="41" spans="1:1">
      <c r="A41" s="138" t="s">
        <v>229</v>
      </c>
    </row>
    <row r="43" spans="1:1">
      <c r="A43" s="135" t="s">
        <v>230</v>
      </c>
    </row>
    <row r="45" spans="1:1" ht="16.5">
      <c r="A45" s="137" t="s">
        <v>231</v>
      </c>
    </row>
    <row r="46" spans="1:1">
      <c r="A46" s="138"/>
    </row>
    <row r="47" spans="1:1">
      <c r="A47" s="138" t="s">
        <v>232</v>
      </c>
    </row>
    <row r="48" spans="1:1">
      <c r="A48" s="138"/>
    </row>
    <row r="49" spans="1:1">
      <c r="A49" s="139" t="s">
        <v>233</v>
      </c>
    </row>
    <row r="50" spans="1:1">
      <c r="A50" s="138"/>
    </row>
    <row r="51" spans="1:1">
      <c r="A51" s="138" t="s">
        <v>234</v>
      </c>
    </row>
    <row r="55" spans="1:1" ht="21">
      <c r="A55" s="134" t="s">
        <v>235</v>
      </c>
    </row>
    <row r="57" spans="1:1">
      <c r="A57" s="135" t="s">
        <v>236</v>
      </c>
    </row>
    <row r="58" spans="1:1">
      <c r="A58" s="138"/>
    </row>
    <row r="59" spans="1:1">
      <c r="A59" s="139" t="s">
        <v>237</v>
      </c>
    </row>
    <row r="60" spans="1:1">
      <c r="A60" s="138"/>
    </row>
    <row r="61" spans="1:1">
      <c r="A61" s="139" t="s">
        <v>238</v>
      </c>
    </row>
    <row r="63" spans="1:1">
      <c r="A63" s="135" t="s">
        <v>239</v>
      </c>
    </row>
    <row r="67" spans="1:1" ht="21">
      <c r="A67" s="134" t="s">
        <v>240</v>
      </c>
    </row>
    <row r="69" spans="1:1">
      <c r="A69" s="135" t="s">
        <v>241</v>
      </c>
    </row>
    <row r="70" spans="1:1">
      <c r="A70" s="135" t="s">
        <v>242</v>
      </c>
    </row>
  </sheetData>
  <phoneticPr fontId="9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BZ101"/>
  <sheetViews>
    <sheetView zoomScale="70" zoomScaleNormal="70" workbookViewId="0">
      <pane xSplit="7" ySplit="9" topLeftCell="H10" activePane="bottomRight" state="frozen"/>
      <selection activeCell="O8" sqref="O8"/>
      <selection pane="topRight" activeCell="O8" sqref="O8"/>
      <selection pane="bottomLeft" activeCell="O8" sqref="O8"/>
      <selection pane="bottomRight"/>
    </sheetView>
  </sheetViews>
  <sheetFormatPr defaultColWidth="9" defaultRowHeight="13.5"/>
  <cols>
    <col min="1" max="1" width="4.875" style="52" customWidth="1"/>
    <col min="2" max="2" width="8.5" style="1" bestFit="1" customWidth="1"/>
    <col min="3" max="3" width="21.125" style="1" customWidth="1"/>
    <col min="4" max="7" width="5.125" style="1" customWidth="1"/>
    <col min="8" max="8" width="10" style="1" bestFit="1" customWidth="1"/>
    <col min="9" max="9" width="11.25" style="1" bestFit="1" customWidth="1"/>
    <col min="10" max="10" width="9.625" style="1" bestFit="1" customWidth="1"/>
    <col min="11" max="12" width="10" style="1" bestFit="1" customWidth="1"/>
    <col min="13" max="13" width="11.25" style="1" bestFit="1" customWidth="1"/>
    <col min="14" max="14" width="9.625" style="1" bestFit="1" customWidth="1"/>
    <col min="15" max="16" width="10" style="1" bestFit="1" customWidth="1"/>
    <col min="17" max="17" width="11.25" style="1" bestFit="1" customWidth="1"/>
    <col min="18" max="18" width="9.625" style="1" bestFit="1" customWidth="1"/>
    <col min="19" max="19" width="10" style="1" bestFit="1" customWidth="1"/>
    <col min="20" max="20" width="10" style="1" customWidth="1"/>
    <col min="21" max="21" width="11.25" style="1" bestFit="1" customWidth="1"/>
    <col min="22" max="22" width="9.625" style="1" bestFit="1" customWidth="1"/>
    <col min="23" max="24" width="10" style="1" bestFit="1" customWidth="1"/>
    <col min="25" max="25" width="11.25" style="1" bestFit="1" customWidth="1"/>
    <col min="26" max="26" width="9.625" style="1" bestFit="1" customWidth="1"/>
    <col min="27" max="28" width="10" style="1" bestFit="1" customWidth="1"/>
    <col min="29" max="29" width="11.25" style="1" bestFit="1" customWidth="1"/>
    <col min="30" max="30" width="9.625" style="1" bestFit="1" customWidth="1"/>
    <col min="31" max="32" width="10" style="1" bestFit="1" customWidth="1"/>
    <col min="33" max="33" width="11.25" style="1" bestFit="1" customWidth="1"/>
    <col min="34" max="34" width="9.625" style="1" bestFit="1" customWidth="1"/>
    <col min="35" max="36" width="10" style="1" bestFit="1" customWidth="1"/>
    <col min="37" max="37" width="11.25" style="1" bestFit="1" customWidth="1"/>
    <col min="38" max="38" width="9.625" style="1" bestFit="1" customWidth="1"/>
    <col min="39" max="40" width="10" style="1" bestFit="1" customWidth="1"/>
    <col min="41" max="41" width="11.25" style="1" bestFit="1" customWidth="1"/>
    <col min="42" max="42" width="9.625" style="1" bestFit="1" customWidth="1"/>
    <col min="43" max="44" width="10" style="1" bestFit="1" customWidth="1"/>
    <col min="45" max="45" width="11.25" style="1" bestFit="1" customWidth="1"/>
    <col min="46" max="46" width="9.625" style="1" bestFit="1" customWidth="1"/>
    <col min="47" max="48" width="10" style="1" bestFit="1" customWidth="1"/>
    <col min="49" max="49" width="11.25" style="1" bestFit="1" customWidth="1"/>
    <col min="50" max="50" width="9.625" style="1" bestFit="1" customWidth="1"/>
    <col min="51" max="52" width="10" style="1" bestFit="1" customWidth="1"/>
    <col min="53" max="53" width="11.25" style="1" bestFit="1" customWidth="1"/>
    <col min="54" max="54" width="9.625" style="1" bestFit="1" customWidth="1"/>
    <col min="55" max="56" width="10" style="1" bestFit="1" customWidth="1"/>
    <col min="57" max="57" width="11.25" style="1" bestFit="1" customWidth="1"/>
    <col min="58" max="58" width="9.625" style="1" bestFit="1" customWidth="1"/>
    <col min="59" max="60" width="10" style="1" bestFit="1" customWidth="1"/>
    <col min="61" max="61" width="11.25" style="1" bestFit="1" customWidth="1"/>
    <col min="62" max="62" width="9.625" style="1" bestFit="1" customWidth="1"/>
    <col min="63" max="64" width="10" style="1" bestFit="1" customWidth="1"/>
    <col min="65" max="65" width="11.25" style="1" bestFit="1" customWidth="1"/>
    <col min="66" max="66" width="9.625" style="1" bestFit="1" customWidth="1"/>
    <col min="67" max="68" width="10" style="1" bestFit="1" customWidth="1"/>
    <col min="69" max="69" width="11.25" style="1" bestFit="1" customWidth="1"/>
    <col min="70" max="70" width="9.625" style="1" bestFit="1" customWidth="1"/>
    <col min="71" max="71" width="10" style="1" bestFit="1" customWidth="1"/>
    <col min="72" max="75" width="11.125" style="1" customWidth="1"/>
    <col min="76" max="76" width="9.375" style="1" customWidth="1"/>
    <col min="77" max="77" width="10.5" style="1" customWidth="1"/>
    <col min="78" max="16384" width="9" style="1"/>
  </cols>
  <sheetData>
    <row r="1" spans="1:78" ht="14.25" thickBot="1">
      <c r="A1" s="52" t="s">
        <v>207</v>
      </c>
      <c r="C1" s="2"/>
      <c r="D1" s="3"/>
      <c r="E1" s="3"/>
      <c r="F1" s="3"/>
      <c r="G1" s="3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5"/>
      <c r="BY1" s="5"/>
      <c r="BZ1" s="6"/>
    </row>
    <row r="2" spans="1:78" ht="33.6" customHeight="1">
      <c r="C2" s="116" t="s">
        <v>204</v>
      </c>
      <c r="D2" s="116"/>
      <c r="E2" s="116"/>
      <c r="F2" s="116"/>
      <c r="G2" s="116"/>
      <c r="H2" s="116"/>
      <c r="I2" s="116"/>
      <c r="J2" s="116"/>
      <c r="K2" s="116"/>
      <c r="L2" s="116"/>
      <c r="M2" s="116"/>
      <c r="N2" s="116"/>
      <c r="O2" s="116"/>
      <c r="P2" s="116"/>
      <c r="Q2" s="116"/>
      <c r="R2" s="116"/>
      <c r="S2" s="116"/>
      <c r="T2" s="116"/>
      <c r="U2" s="116"/>
      <c r="V2" s="116"/>
      <c r="W2" s="116"/>
      <c r="X2" s="116"/>
      <c r="Y2" s="7"/>
      <c r="Z2" s="8"/>
      <c r="AA2" s="8"/>
      <c r="AB2" s="8"/>
      <c r="AC2" s="9" t="s">
        <v>0</v>
      </c>
      <c r="AD2" s="8"/>
      <c r="AE2" s="8"/>
      <c r="AF2" s="8"/>
      <c r="AG2" s="8"/>
      <c r="AH2" s="7"/>
      <c r="AI2" s="10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0"/>
      <c r="BC2" s="7"/>
      <c r="BD2" s="10"/>
      <c r="BE2" s="10"/>
      <c r="BF2" s="7"/>
      <c r="BG2" s="10"/>
      <c r="BH2" s="10"/>
      <c r="BI2" s="7"/>
      <c r="BJ2" s="10"/>
      <c r="BK2" s="10"/>
      <c r="BL2" s="7"/>
      <c r="BM2" s="10"/>
      <c r="BN2" s="8"/>
      <c r="BO2" s="7"/>
      <c r="BP2" s="8"/>
      <c r="BQ2" s="8"/>
      <c r="BR2" s="7"/>
      <c r="BS2" s="8"/>
      <c r="BT2" s="12"/>
      <c r="BU2" s="12"/>
      <c r="BV2" s="12"/>
      <c r="BW2" s="12"/>
      <c r="BX2" s="12"/>
      <c r="BY2" s="13"/>
      <c r="BZ2" s="14"/>
    </row>
    <row r="3" spans="1:78" ht="14.25" thickBot="1">
      <c r="C3" s="2"/>
      <c r="D3" s="3"/>
      <c r="E3" s="3"/>
      <c r="F3" s="3"/>
      <c r="G3" s="3"/>
      <c r="H3" s="117">
        <v>1</v>
      </c>
      <c r="I3" s="117"/>
      <c r="J3" s="117"/>
      <c r="K3" s="117"/>
      <c r="L3" s="117">
        <v>2</v>
      </c>
      <c r="M3" s="117"/>
      <c r="N3" s="117"/>
      <c r="O3" s="117"/>
      <c r="P3" s="117">
        <v>3</v>
      </c>
      <c r="Q3" s="117"/>
      <c r="R3" s="117"/>
      <c r="S3" s="117"/>
      <c r="T3" s="117">
        <v>4</v>
      </c>
      <c r="U3" s="117"/>
      <c r="V3" s="117"/>
      <c r="W3" s="117"/>
      <c r="X3" s="117">
        <v>5</v>
      </c>
      <c r="Y3" s="117"/>
      <c r="Z3" s="117"/>
      <c r="AA3" s="117"/>
      <c r="AB3" s="117">
        <v>6</v>
      </c>
      <c r="AC3" s="117"/>
      <c r="AD3" s="117"/>
      <c r="AE3" s="117"/>
      <c r="AF3" s="117">
        <v>7</v>
      </c>
      <c r="AG3" s="117"/>
      <c r="AH3" s="117"/>
      <c r="AI3" s="117"/>
      <c r="AJ3" s="117">
        <v>8</v>
      </c>
      <c r="AK3" s="117"/>
      <c r="AL3" s="117"/>
      <c r="AM3" s="117"/>
      <c r="AN3" s="117">
        <v>9</v>
      </c>
      <c r="AO3" s="117"/>
      <c r="AP3" s="117"/>
      <c r="AQ3" s="117"/>
      <c r="AR3" s="117">
        <v>10</v>
      </c>
      <c r="AS3" s="117"/>
      <c r="AT3" s="117"/>
      <c r="AU3" s="117"/>
      <c r="AV3" s="117">
        <v>11</v>
      </c>
      <c r="AW3" s="117"/>
      <c r="AX3" s="117"/>
      <c r="AY3" s="117"/>
      <c r="AZ3" s="117">
        <v>12</v>
      </c>
      <c r="BA3" s="117"/>
      <c r="BB3" s="117"/>
      <c r="BC3" s="117"/>
      <c r="BD3" s="117">
        <v>13</v>
      </c>
      <c r="BE3" s="117"/>
      <c r="BF3" s="117"/>
      <c r="BG3" s="117"/>
      <c r="BH3" s="117">
        <v>14</v>
      </c>
      <c r="BI3" s="117"/>
      <c r="BJ3" s="117"/>
      <c r="BK3" s="117"/>
      <c r="BL3" s="117">
        <v>15</v>
      </c>
      <c r="BM3" s="117"/>
      <c r="BN3" s="117"/>
      <c r="BO3" s="117"/>
      <c r="BP3" s="117">
        <v>16</v>
      </c>
      <c r="BQ3" s="117"/>
      <c r="BR3" s="117"/>
      <c r="BS3" s="117"/>
      <c r="BT3" s="15"/>
      <c r="BU3" s="15"/>
      <c r="BV3" s="15"/>
      <c r="BW3" s="15"/>
      <c r="BX3" s="15"/>
      <c r="BY3" s="15"/>
      <c r="BZ3" s="16"/>
    </row>
    <row r="4" spans="1:78" ht="14.25" thickBot="1">
      <c r="C4" s="17"/>
      <c r="D4" s="133"/>
      <c r="E4" s="133"/>
      <c r="F4" s="133"/>
      <c r="G4" s="133"/>
      <c r="H4" s="118"/>
      <c r="I4" s="119"/>
      <c r="J4" s="119"/>
      <c r="K4" s="120"/>
      <c r="L4" s="118"/>
      <c r="M4" s="119"/>
      <c r="N4" s="119"/>
      <c r="O4" s="120"/>
      <c r="P4" s="118"/>
      <c r="Q4" s="119"/>
      <c r="R4" s="119"/>
      <c r="S4" s="120"/>
      <c r="T4" s="118"/>
      <c r="U4" s="119"/>
      <c r="V4" s="119"/>
      <c r="W4" s="120"/>
      <c r="X4" s="118"/>
      <c r="Y4" s="119"/>
      <c r="Z4" s="119"/>
      <c r="AA4" s="120"/>
      <c r="AB4" s="118"/>
      <c r="AC4" s="119"/>
      <c r="AD4" s="119"/>
      <c r="AE4" s="120"/>
      <c r="AF4" s="118"/>
      <c r="AG4" s="119"/>
      <c r="AH4" s="119"/>
      <c r="AI4" s="120"/>
      <c r="AJ4" s="118"/>
      <c r="AK4" s="119"/>
      <c r="AL4" s="119"/>
      <c r="AM4" s="120"/>
      <c r="AN4" s="118"/>
      <c r="AO4" s="119"/>
      <c r="AP4" s="119"/>
      <c r="AQ4" s="120"/>
      <c r="AR4" s="118"/>
      <c r="AS4" s="119"/>
      <c r="AT4" s="119"/>
      <c r="AU4" s="120"/>
      <c r="AV4" s="118"/>
      <c r="AW4" s="119"/>
      <c r="AX4" s="119"/>
      <c r="AY4" s="120"/>
      <c r="AZ4" s="118"/>
      <c r="BA4" s="119"/>
      <c r="BB4" s="119"/>
      <c r="BC4" s="120"/>
      <c r="BD4" s="118"/>
      <c r="BE4" s="119"/>
      <c r="BF4" s="119"/>
      <c r="BG4" s="120"/>
      <c r="BH4" s="118"/>
      <c r="BI4" s="119"/>
      <c r="BJ4" s="119"/>
      <c r="BK4" s="120"/>
      <c r="BL4" s="118"/>
      <c r="BM4" s="119"/>
      <c r="BN4" s="119"/>
      <c r="BO4" s="120"/>
      <c r="BP4" s="118"/>
      <c r="BQ4" s="119"/>
      <c r="BR4" s="119"/>
      <c r="BS4" s="120"/>
      <c r="BT4" s="18"/>
      <c r="BU4" s="18"/>
      <c r="BV4" s="18"/>
      <c r="BW4" s="18"/>
      <c r="BX4" s="18"/>
      <c r="BY4" s="18"/>
      <c r="BZ4" s="19"/>
    </row>
    <row r="5" spans="1:78" s="20" customFormat="1" ht="21" customHeight="1">
      <c r="A5" s="79"/>
      <c r="C5" s="21"/>
      <c r="D5" s="22"/>
      <c r="E5" s="23"/>
      <c r="F5" s="23"/>
      <c r="G5" s="90"/>
      <c r="H5" s="26"/>
      <c r="I5" s="27"/>
      <c r="J5" s="27" t="s">
        <v>1</v>
      </c>
      <c r="K5" s="113"/>
      <c r="L5" s="24"/>
      <c r="M5" s="25"/>
      <c r="N5" s="25" t="s">
        <v>1</v>
      </c>
      <c r="O5" s="77"/>
      <c r="P5" s="26"/>
      <c r="Q5" s="27"/>
      <c r="R5" s="27" t="s">
        <v>1</v>
      </c>
      <c r="S5" s="113"/>
      <c r="T5" s="24"/>
      <c r="U5" s="25"/>
      <c r="V5" s="25" t="s">
        <v>1</v>
      </c>
      <c r="W5" s="77"/>
      <c r="X5" s="26"/>
      <c r="Y5" s="27"/>
      <c r="Z5" s="27" t="s">
        <v>1</v>
      </c>
      <c r="AA5" s="113"/>
      <c r="AB5" s="24"/>
      <c r="AC5" s="25"/>
      <c r="AD5" s="25" t="s">
        <v>1</v>
      </c>
      <c r="AE5" s="77"/>
      <c r="AF5" s="26"/>
      <c r="AG5" s="27"/>
      <c r="AH5" s="27" t="s">
        <v>1</v>
      </c>
      <c r="AI5" s="113"/>
      <c r="AJ5" s="24"/>
      <c r="AK5" s="25"/>
      <c r="AL5" s="25" t="s">
        <v>1</v>
      </c>
      <c r="AM5" s="77"/>
      <c r="AN5" s="26"/>
      <c r="AO5" s="27"/>
      <c r="AP5" s="27" t="s">
        <v>1</v>
      </c>
      <c r="AQ5" s="113"/>
      <c r="AR5" s="24"/>
      <c r="AS5" s="25"/>
      <c r="AT5" s="25" t="s">
        <v>1</v>
      </c>
      <c r="AU5" s="77"/>
      <c r="AV5" s="26"/>
      <c r="AW5" s="27"/>
      <c r="AX5" s="27" t="s">
        <v>1</v>
      </c>
      <c r="AY5" s="113"/>
      <c r="AZ5" s="24"/>
      <c r="BA5" s="25"/>
      <c r="BB5" s="25" t="s">
        <v>1</v>
      </c>
      <c r="BC5" s="77"/>
      <c r="BD5" s="26"/>
      <c r="BE5" s="27"/>
      <c r="BF5" s="27" t="s">
        <v>1</v>
      </c>
      <c r="BG5" s="113"/>
      <c r="BH5" s="24"/>
      <c r="BI5" s="25"/>
      <c r="BJ5" s="25" t="s">
        <v>1</v>
      </c>
      <c r="BK5" s="77"/>
      <c r="BL5" s="26"/>
      <c r="BM5" s="27"/>
      <c r="BN5" s="27" t="s">
        <v>1</v>
      </c>
      <c r="BO5" s="113"/>
      <c r="BP5" s="24"/>
      <c r="BQ5" s="25"/>
      <c r="BR5" s="25" t="s">
        <v>1</v>
      </c>
      <c r="BS5" s="77"/>
      <c r="BT5" s="28"/>
      <c r="BU5" s="28"/>
      <c r="BV5" s="28"/>
      <c r="BW5" s="28"/>
      <c r="BX5" s="71" t="s">
        <v>2</v>
      </c>
      <c r="BY5" s="71"/>
      <c r="BZ5" s="72"/>
    </row>
    <row r="6" spans="1:78" ht="44.25" customHeight="1">
      <c r="C6" s="29"/>
      <c r="D6" s="30"/>
      <c r="E6" s="91"/>
      <c r="F6" s="92"/>
      <c r="G6" s="93"/>
      <c r="H6" s="121"/>
      <c r="I6" s="122"/>
      <c r="J6" s="122"/>
      <c r="K6" s="123"/>
      <c r="L6" s="124"/>
      <c r="M6" s="125"/>
      <c r="N6" s="125"/>
      <c r="O6" s="126"/>
      <c r="P6" s="121"/>
      <c r="Q6" s="122"/>
      <c r="R6" s="122"/>
      <c r="S6" s="123"/>
      <c r="T6" s="124"/>
      <c r="U6" s="125"/>
      <c r="V6" s="125"/>
      <c r="W6" s="126"/>
      <c r="X6" s="121"/>
      <c r="Y6" s="122"/>
      <c r="Z6" s="122"/>
      <c r="AA6" s="123"/>
      <c r="AB6" s="124"/>
      <c r="AC6" s="125"/>
      <c r="AD6" s="125"/>
      <c r="AE6" s="126"/>
      <c r="AF6" s="121"/>
      <c r="AG6" s="122"/>
      <c r="AH6" s="122"/>
      <c r="AI6" s="123"/>
      <c r="AJ6" s="124"/>
      <c r="AK6" s="125"/>
      <c r="AL6" s="125"/>
      <c r="AM6" s="126"/>
      <c r="AN6" s="121"/>
      <c r="AO6" s="122"/>
      <c r="AP6" s="122"/>
      <c r="AQ6" s="123"/>
      <c r="AR6" s="124"/>
      <c r="AS6" s="125"/>
      <c r="AT6" s="125"/>
      <c r="AU6" s="126"/>
      <c r="AV6" s="121"/>
      <c r="AW6" s="122"/>
      <c r="AX6" s="122"/>
      <c r="AY6" s="123"/>
      <c r="AZ6" s="124"/>
      <c r="BA6" s="125"/>
      <c r="BB6" s="125"/>
      <c r="BC6" s="126"/>
      <c r="BD6" s="121"/>
      <c r="BE6" s="122"/>
      <c r="BF6" s="122"/>
      <c r="BG6" s="123"/>
      <c r="BH6" s="124"/>
      <c r="BI6" s="125"/>
      <c r="BJ6" s="125"/>
      <c r="BK6" s="126"/>
      <c r="BL6" s="121"/>
      <c r="BM6" s="122"/>
      <c r="BN6" s="122"/>
      <c r="BO6" s="123"/>
      <c r="BP6" s="124"/>
      <c r="BQ6" s="125"/>
      <c r="BR6" s="125"/>
      <c r="BS6" s="126"/>
      <c r="BT6" s="31"/>
      <c r="BU6" s="31"/>
      <c r="BV6" s="31"/>
      <c r="BW6" s="31"/>
      <c r="BX6" s="73"/>
      <c r="BY6" s="73"/>
      <c r="BZ6" s="74"/>
    </row>
    <row r="7" spans="1:78" ht="12.95" customHeight="1">
      <c r="C7" s="32"/>
      <c r="D7" s="80"/>
      <c r="E7" s="81"/>
      <c r="F7" s="81"/>
      <c r="G7" s="82"/>
      <c r="H7" s="87"/>
      <c r="I7" s="88"/>
      <c r="J7" s="88"/>
      <c r="K7" s="89"/>
      <c r="L7" s="33"/>
      <c r="M7" s="34"/>
      <c r="N7" s="34"/>
      <c r="O7" s="35"/>
      <c r="P7" s="87"/>
      <c r="Q7" s="88"/>
      <c r="R7" s="88"/>
      <c r="S7" s="89"/>
      <c r="T7" s="33"/>
      <c r="U7" s="34"/>
      <c r="V7" s="34"/>
      <c r="W7" s="35"/>
      <c r="X7" s="87"/>
      <c r="Y7" s="88"/>
      <c r="Z7" s="88"/>
      <c r="AA7" s="89"/>
      <c r="AB7" s="33"/>
      <c r="AC7" s="34"/>
      <c r="AD7" s="34"/>
      <c r="AE7" s="35"/>
      <c r="AF7" s="87"/>
      <c r="AG7" s="88"/>
      <c r="AH7" s="88"/>
      <c r="AI7" s="89"/>
      <c r="AJ7" s="33"/>
      <c r="AK7" s="34"/>
      <c r="AL7" s="34"/>
      <c r="AM7" s="35"/>
      <c r="AN7" s="87"/>
      <c r="AO7" s="88"/>
      <c r="AP7" s="88"/>
      <c r="AQ7" s="89"/>
      <c r="AR7" s="33"/>
      <c r="AS7" s="34"/>
      <c r="AT7" s="34"/>
      <c r="AU7" s="35"/>
      <c r="AV7" s="87"/>
      <c r="AW7" s="88"/>
      <c r="AX7" s="88"/>
      <c r="AY7" s="89"/>
      <c r="AZ7" s="33"/>
      <c r="BA7" s="34"/>
      <c r="BB7" s="34"/>
      <c r="BC7" s="35"/>
      <c r="BD7" s="87"/>
      <c r="BE7" s="88"/>
      <c r="BF7" s="88"/>
      <c r="BG7" s="89"/>
      <c r="BH7" s="33"/>
      <c r="BI7" s="34"/>
      <c r="BJ7" s="34"/>
      <c r="BK7" s="35"/>
      <c r="BL7" s="87"/>
      <c r="BM7" s="88"/>
      <c r="BN7" s="88"/>
      <c r="BO7" s="89"/>
      <c r="BP7" s="33"/>
      <c r="BQ7" s="34"/>
      <c r="BR7" s="34"/>
      <c r="BS7" s="35"/>
      <c r="BT7" s="36"/>
      <c r="BU7" s="36"/>
      <c r="BV7" s="36"/>
      <c r="BW7" s="36"/>
      <c r="BX7" s="73"/>
      <c r="BY7" s="73"/>
      <c r="BZ7" s="74"/>
    </row>
    <row r="8" spans="1:78" ht="21.75" customHeight="1" thickBot="1">
      <c r="C8" s="37"/>
      <c r="D8" s="130"/>
      <c r="E8" s="131"/>
      <c r="F8" s="131"/>
      <c r="G8" s="132"/>
      <c r="H8" s="38"/>
      <c r="I8" s="39"/>
      <c r="J8" s="39"/>
      <c r="K8" s="40"/>
      <c r="L8" s="38"/>
      <c r="M8" s="39"/>
      <c r="N8" s="39"/>
      <c r="O8" s="40"/>
      <c r="P8" s="38"/>
      <c r="Q8" s="39"/>
      <c r="R8" s="39"/>
      <c r="S8" s="40"/>
      <c r="T8" s="38"/>
      <c r="U8" s="39"/>
      <c r="V8" s="39"/>
      <c r="W8" s="40"/>
      <c r="X8" s="38"/>
      <c r="Y8" s="39"/>
      <c r="Z8" s="39"/>
      <c r="AA8" s="40"/>
      <c r="AB8" s="38"/>
      <c r="AC8" s="39"/>
      <c r="AD8" s="39"/>
      <c r="AE8" s="40"/>
      <c r="AF8" s="38"/>
      <c r="AG8" s="39"/>
      <c r="AH8" s="39"/>
      <c r="AI8" s="40"/>
      <c r="AJ8" s="38"/>
      <c r="AK8" s="39"/>
      <c r="AL8" s="39"/>
      <c r="AM8" s="40"/>
      <c r="AN8" s="38"/>
      <c r="AO8" s="39"/>
      <c r="AP8" s="39"/>
      <c r="AQ8" s="40"/>
      <c r="AR8" s="38"/>
      <c r="AS8" s="39"/>
      <c r="AT8" s="39"/>
      <c r="AU8" s="40"/>
      <c r="AV8" s="38"/>
      <c r="AW8" s="39"/>
      <c r="AX8" s="39"/>
      <c r="AY8" s="40"/>
      <c r="AZ8" s="38"/>
      <c r="BA8" s="39"/>
      <c r="BB8" s="39"/>
      <c r="BC8" s="40"/>
      <c r="BD8" s="38"/>
      <c r="BE8" s="39"/>
      <c r="BF8" s="39"/>
      <c r="BG8" s="40"/>
      <c r="BH8" s="38"/>
      <c r="BI8" s="39"/>
      <c r="BJ8" s="39"/>
      <c r="BK8" s="40"/>
      <c r="BL8" s="38"/>
      <c r="BM8" s="39"/>
      <c r="BN8" s="39"/>
      <c r="BO8" s="40"/>
      <c r="BP8" s="38"/>
      <c r="BQ8" s="39"/>
      <c r="BR8" s="39"/>
      <c r="BS8" s="40"/>
      <c r="BT8" s="41" t="s">
        <v>7</v>
      </c>
      <c r="BU8" s="41" t="s">
        <v>208</v>
      </c>
      <c r="BV8" s="41" t="s">
        <v>4</v>
      </c>
      <c r="BW8" s="41" t="s">
        <v>5</v>
      </c>
      <c r="BX8" s="75"/>
      <c r="BY8" s="75"/>
      <c r="BZ8" s="76"/>
    </row>
    <row r="9" spans="1:78" ht="22.5" customHeight="1" thickBot="1">
      <c r="A9" s="52" t="s">
        <v>203</v>
      </c>
      <c r="B9" s="78" t="s">
        <v>14</v>
      </c>
      <c r="C9" s="114" t="s">
        <v>6</v>
      </c>
      <c r="D9" s="42" t="s">
        <v>7</v>
      </c>
      <c r="E9" s="43" t="s">
        <v>8</v>
      </c>
      <c r="F9" s="44" t="s">
        <v>4</v>
      </c>
      <c r="G9" s="108" t="s">
        <v>3</v>
      </c>
      <c r="H9" s="45" t="s">
        <v>13</v>
      </c>
      <c r="I9" s="46" t="s">
        <v>209</v>
      </c>
      <c r="J9" s="46" t="s">
        <v>205</v>
      </c>
      <c r="K9" s="47" t="s">
        <v>206</v>
      </c>
      <c r="L9" s="45" t="s">
        <v>13</v>
      </c>
      <c r="M9" s="46" t="s">
        <v>209</v>
      </c>
      <c r="N9" s="46" t="s">
        <v>205</v>
      </c>
      <c r="O9" s="47" t="s">
        <v>206</v>
      </c>
      <c r="P9" s="45" t="s">
        <v>13</v>
      </c>
      <c r="Q9" s="46" t="s">
        <v>209</v>
      </c>
      <c r="R9" s="46" t="s">
        <v>205</v>
      </c>
      <c r="S9" s="47" t="s">
        <v>206</v>
      </c>
      <c r="T9" s="45" t="s">
        <v>13</v>
      </c>
      <c r="U9" s="46" t="s">
        <v>209</v>
      </c>
      <c r="V9" s="46" t="s">
        <v>205</v>
      </c>
      <c r="W9" s="47" t="s">
        <v>206</v>
      </c>
      <c r="X9" s="45" t="s">
        <v>13</v>
      </c>
      <c r="Y9" s="46" t="s">
        <v>209</v>
      </c>
      <c r="Z9" s="46" t="s">
        <v>205</v>
      </c>
      <c r="AA9" s="47" t="s">
        <v>206</v>
      </c>
      <c r="AB9" s="45" t="s">
        <v>13</v>
      </c>
      <c r="AC9" s="46" t="s">
        <v>209</v>
      </c>
      <c r="AD9" s="46" t="s">
        <v>205</v>
      </c>
      <c r="AE9" s="47" t="s">
        <v>206</v>
      </c>
      <c r="AF9" s="45" t="s">
        <v>13</v>
      </c>
      <c r="AG9" s="46" t="s">
        <v>209</v>
      </c>
      <c r="AH9" s="46" t="s">
        <v>205</v>
      </c>
      <c r="AI9" s="47" t="s">
        <v>206</v>
      </c>
      <c r="AJ9" s="45" t="s">
        <v>13</v>
      </c>
      <c r="AK9" s="46" t="s">
        <v>209</v>
      </c>
      <c r="AL9" s="46" t="s">
        <v>205</v>
      </c>
      <c r="AM9" s="47" t="s">
        <v>206</v>
      </c>
      <c r="AN9" s="45" t="s">
        <v>13</v>
      </c>
      <c r="AO9" s="46" t="s">
        <v>209</v>
      </c>
      <c r="AP9" s="46" t="s">
        <v>205</v>
      </c>
      <c r="AQ9" s="47" t="s">
        <v>206</v>
      </c>
      <c r="AR9" s="45" t="s">
        <v>13</v>
      </c>
      <c r="AS9" s="46" t="s">
        <v>209</v>
      </c>
      <c r="AT9" s="46" t="s">
        <v>205</v>
      </c>
      <c r="AU9" s="47" t="s">
        <v>206</v>
      </c>
      <c r="AV9" s="45" t="s">
        <v>13</v>
      </c>
      <c r="AW9" s="46" t="s">
        <v>209</v>
      </c>
      <c r="AX9" s="46" t="s">
        <v>205</v>
      </c>
      <c r="AY9" s="47" t="s">
        <v>206</v>
      </c>
      <c r="AZ9" s="45" t="s">
        <v>13</v>
      </c>
      <c r="BA9" s="46" t="s">
        <v>209</v>
      </c>
      <c r="BB9" s="46" t="s">
        <v>205</v>
      </c>
      <c r="BC9" s="47" t="s">
        <v>206</v>
      </c>
      <c r="BD9" s="45" t="s">
        <v>13</v>
      </c>
      <c r="BE9" s="46" t="s">
        <v>209</v>
      </c>
      <c r="BF9" s="46" t="s">
        <v>205</v>
      </c>
      <c r="BG9" s="47" t="s">
        <v>206</v>
      </c>
      <c r="BH9" s="45" t="s">
        <v>13</v>
      </c>
      <c r="BI9" s="46" t="s">
        <v>209</v>
      </c>
      <c r="BJ9" s="46" t="s">
        <v>205</v>
      </c>
      <c r="BK9" s="47" t="s">
        <v>206</v>
      </c>
      <c r="BL9" s="45" t="s">
        <v>13</v>
      </c>
      <c r="BM9" s="46" t="s">
        <v>209</v>
      </c>
      <c r="BN9" s="46" t="s">
        <v>205</v>
      </c>
      <c r="BO9" s="47" t="s">
        <v>206</v>
      </c>
      <c r="BP9" s="45" t="s">
        <v>13</v>
      </c>
      <c r="BQ9" s="46" t="s">
        <v>209</v>
      </c>
      <c r="BR9" s="46" t="s">
        <v>205</v>
      </c>
      <c r="BS9" s="47" t="s">
        <v>206</v>
      </c>
      <c r="BT9" s="48"/>
      <c r="BU9" s="48"/>
      <c r="BV9" s="48"/>
      <c r="BW9" s="48"/>
      <c r="BX9" s="49" t="s">
        <v>9</v>
      </c>
      <c r="BY9" s="50" t="s">
        <v>10</v>
      </c>
      <c r="BZ9" s="51" t="s">
        <v>11</v>
      </c>
    </row>
    <row r="10" spans="1:78" ht="17.25">
      <c r="C10" s="96"/>
      <c r="D10" s="97"/>
      <c r="E10" s="98"/>
      <c r="F10" s="98"/>
      <c r="G10" s="109"/>
      <c r="H10" s="94"/>
      <c r="I10" s="99"/>
      <c r="J10" s="99"/>
      <c r="K10" s="100" t="e">
        <f>ROUND(H10*(HLOOKUP(H$7,$D$9:$G10,ROW()-8,0)+K$8),0)+ROUND(J10*K$8,0)</f>
        <v>#N/A</v>
      </c>
      <c r="L10" s="101"/>
      <c r="M10" s="99"/>
      <c r="N10" s="99"/>
      <c r="O10" s="100" t="e">
        <f>ROUND(L10*(HLOOKUP(L$7,$D$9:$G10,ROW()-8,0)+O$8),0)+ROUND(N10*O$8,0)</f>
        <v>#N/A</v>
      </c>
      <c r="P10" s="101"/>
      <c r="Q10" s="99"/>
      <c r="R10" s="99"/>
      <c r="S10" s="100" t="e">
        <f>ROUND(P10*(HLOOKUP(P$7,$D$9:$G10,ROW()-8,0)+S$8),0)+ROUND(R10*S$8,0)</f>
        <v>#N/A</v>
      </c>
      <c r="T10" s="101"/>
      <c r="U10" s="99"/>
      <c r="V10" s="99"/>
      <c r="W10" s="100" t="e">
        <f>ROUND(T10*(HLOOKUP(T$7,$D$9:$G10,ROW()-8,0)+W$8),0)+ROUND(V10*W$8,0)</f>
        <v>#N/A</v>
      </c>
      <c r="X10" s="101"/>
      <c r="Y10" s="99"/>
      <c r="Z10" s="99"/>
      <c r="AA10" s="100" t="e">
        <f>ROUND(X10*(HLOOKUP(X$7,$D$9:$G10,ROW()-8,0)+AA$8),0)+ROUND(Z10*AA$8,0)</f>
        <v>#N/A</v>
      </c>
      <c r="AB10" s="101"/>
      <c r="AC10" s="99"/>
      <c r="AD10" s="99"/>
      <c r="AE10" s="100" t="e">
        <f>ROUND(AB10*(HLOOKUP(AB$7,$D$9:$G10,ROW()-8,0)+AE$8),0)+ROUND(AD10*AE$8,0)</f>
        <v>#N/A</v>
      </c>
      <c r="AF10" s="101"/>
      <c r="AG10" s="99"/>
      <c r="AH10" s="99"/>
      <c r="AI10" s="100" t="e">
        <f>ROUND(AF10*(HLOOKUP(AF$7,$D$9:$G10,ROW()-8,0)+AI$8),0)+ROUND(AH10*AI$8,0)</f>
        <v>#N/A</v>
      </c>
      <c r="AJ10" s="101"/>
      <c r="AK10" s="99"/>
      <c r="AL10" s="99"/>
      <c r="AM10" s="100" t="e">
        <f>ROUND(AJ10*(HLOOKUP(AJ$7,$D$9:$G10,ROW()-8,0)+AM$8),0)+ROUND(AL10*AM$8,0)</f>
        <v>#N/A</v>
      </c>
      <c r="AN10" s="101"/>
      <c r="AO10" s="99"/>
      <c r="AP10" s="99"/>
      <c r="AQ10" s="100" t="e">
        <f>ROUND(AN10*(HLOOKUP(AN$7,$D$9:$G10,ROW()-8,0)+AQ$8),0)+ROUND(AP10*AQ$8,0)</f>
        <v>#N/A</v>
      </c>
      <c r="AR10" s="101"/>
      <c r="AS10" s="99"/>
      <c r="AT10" s="99"/>
      <c r="AU10" s="100" t="e">
        <f>ROUND(AR10*(HLOOKUP(AR$7,$D$9:$G10,ROW()-8,0)+AU$8),0)+ROUND(AT10*AU$8,0)</f>
        <v>#N/A</v>
      </c>
      <c r="AV10" s="101"/>
      <c r="AW10" s="99"/>
      <c r="AX10" s="99"/>
      <c r="AY10" s="100" t="e">
        <f>ROUND(AV10*(HLOOKUP(AV$7,$D$9:$G10,ROW()-8,0)+AY$8),0)+ROUND(AX10*AY$8,0)</f>
        <v>#N/A</v>
      </c>
      <c r="AZ10" s="101"/>
      <c r="BA10" s="99"/>
      <c r="BB10" s="99"/>
      <c r="BC10" s="100" t="e">
        <f>ROUND(AZ10*(HLOOKUP(AZ$7,$D$9:$G10,ROW()-8,0)+BC$8),0)+ROUND(BB10*BC$8,0)</f>
        <v>#N/A</v>
      </c>
      <c r="BD10" s="101"/>
      <c r="BE10" s="99"/>
      <c r="BF10" s="99"/>
      <c r="BG10" s="100" t="e">
        <f>ROUND(BD10*(HLOOKUP(BD$7,$D$9:$G10,ROW()-8,0)+BG$8),0)+ROUND(BF10*BG$8,0)</f>
        <v>#N/A</v>
      </c>
      <c r="BH10" s="101"/>
      <c r="BI10" s="99"/>
      <c r="BJ10" s="99"/>
      <c r="BK10" s="100" t="e">
        <f>ROUND(BH10*(HLOOKUP(BH$7,$D$9:$G10,ROW()-8,0)+BK$8),0)+ROUND(BJ10*BK$8,0)</f>
        <v>#N/A</v>
      </c>
      <c r="BL10" s="101"/>
      <c r="BM10" s="99"/>
      <c r="BN10" s="99"/>
      <c r="BO10" s="100" t="e">
        <f>ROUND(BL10*(HLOOKUP(BL$7,$D$9:$G10,ROW()-8,0)+BO$8),0)+ROUND(BN10*BO$8,0)</f>
        <v>#N/A</v>
      </c>
      <c r="BP10" s="101"/>
      <c r="BQ10" s="99"/>
      <c r="BR10" s="99"/>
      <c r="BS10" s="100" t="e">
        <f>ROUND(BP10*(HLOOKUP(BP$7,$D$9:$G10,ROW()-8,0)+BS$8),0)+ROUND(BR10*BS$8,0)</f>
        <v>#N/A</v>
      </c>
      <c r="BT10" s="102">
        <f>SUMIF($H$7:$BP$7,BT$8,$K10:$BS10)</f>
        <v>0</v>
      </c>
      <c r="BU10" s="102">
        <f t="shared" ref="BU10:BW25" si="0">SUMIF($H$7:$BP$7,BU$8,$K10:$BS10)</f>
        <v>0</v>
      </c>
      <c r="BV10" s="102">
        <f t="shared" si="0"/>
        <v>0</v>
      </c>
      <c r="BW10" s="102">
        <f t="shared" si="0"/>
        <v>0</v>
      </c>
      <c r="BX10" s="103"/>
      <c r="BY10" s="104"/>
      <c r="BZ10" s="55" t="e">
        <f t="shared" ref="BZ10:BZ73" si="1">+BX10/BY10</f>
        <v>#DIV/0!</v>
      </c>
    </row>
    <row r="11" spans="1:78" ht="17.25">
      <c r="C11" s="64"/>
      <c r="D11" s="105"/>
      <c r="E11" s="106"/>
      <c r="F11" s="106"/>
      <c r="G11" s="110"/>
      <c r="H11" s="95"/>
      <c r="I11" s="56"/>
      <c r="J11" s="56"/>
      <c r="K11" s="83" t="e">
        <f>ROUND(H11*(HLOOKUP(H$7,$D$9:$G11,ROW()-8,0)+K$8),0)+ROUND(J11*K$8,0)</f>
        <v>#N/A</v>
      </c>
      <c r="L11" s="53"/>
      <c r="M11" s="56"/>
      <c r="N11" s="56"/>
      <c r="O11" s="83" t="e">
        <f>ROUND(L11*(HLOOKUP(L$7,$D$9:$G11,ROW()-8,0)+O$8),0)+ROUND(N11*O$8,0)</f>
        <v>#N/A</v>
      </c>
      <c r="P11" s="53"/>
      <c r="Q11" s="56"/>
      <c r="R11" s="56"/>
      <c r="S11" s="83" t="e">
        <f>ROUND(P11*(HLOOKUP(P$7,$D$9:$G11,ROW()-8,0)+S$8),0)+ROUND(R11*S$8,0)</f>
        <v>#N/A</v>
      </c>
      <c r="T11" s="53"/>
      <c r="U11" s="56"/>
      <c r="V11" s="56"/>
      <c r="W11" s="83" t="e">
        <f>ROUND(T11*(HLOOKUP(T$7,$D$9:$G11,ROW()-8,0)+W$8),0)+ROUND(V11*W$8,0)</f>
        <v>#N/A</v>
      </c>
      <c r="X11" s="53"/>
      <c r="Y11" s="56"/>
      <c r="Z11" s="56"/>
      <c r="AA11" s="83" t="e">
        <f>ROUND(X11*(HLOOKUP(X$7,$D$9:$G11,ROW()-8,0)+AA$8),0)+ROUND(Z11*AA$8,0)</f>
        <v>#N/A</v>
      </c>
      <c r="AB11" s="53"/>
      <c r="AC11" s="56"/>
      <c r="AD11" s="56"/>
      <c r="AE11" s="83" t="e">
        <f>ROUND(AB11*(HLOOKUP(AB$7,$D$9:$G11,ROW()-8,0)+AE$8),0)+ROUND(AD11*AE$8,0)</f>
        <v>#N/A</v>
      </c>
      <c r="AF11" s="53"/>
      <c r="AG11" s="56"/>
      <c r="AH11" s="56"/>
      <c r="AI11" s="83" t="e">
        <f>ROUND(AF11*(HLOOKUP(AF$7,$D$9:$G11,ROW()-8,0)+AI$8),0)+ROUND(AH11*AI$8,0)</f>
        <v>#N/A</v>
      </c>
      <c r="AJ11" s="53"/>
      <c r="AK11" s="56"/>
      <c r="AL11" s="56"/>
      <c r="AM11" s="83" t="e">
        <f>ROUND(AJ11*(HLOOKUP(AJ$7,$D$9:$G11,ROW()-8,0)+AM$8),0)+ROUND(AL11*AM$8,0)</f>
        <v>#N/A</v>
      </c>
      <c r="AN11" s="53"/>
      <c r="AO11" s="56"/>
      <c r="AP11" s="56"/>
      <c r="AQ11" s="83" t="e">
        <f>ROUND(AN11*(HLOOKUP(AN$7,$D$9:$G11,ROW()-8,0)+AQ$8),0)+ROUND(AP11*AQ$8,0)</f>
        <v>#N/A</v>
      </c>
      <c r="AR11" s="53"/>
      <c r="AS11" s="56"/>
      <c r="AT11" s="56"/>
      <c r="AU11" s="83" t="e">
        <f>ROUND(AR11*(HLOOKUP(AR$7,$D$9:$G11,ROW()-8,0)+AU$8),0)+ROUND(AT11*AU$8,0)</f>
        <v>#N/A</v>
      </c>
      <c r="AV11" s="53"/>
      <c r="AW11" s="56"/>
      <c r="AX11" s="56"/>
      <c r="AY11" s="83" t="e">
        <f>ROUND(AV11*(HLOOKUP(AV$7,$D$9:$G11,ROW()-8,0)+AY$8),0)+ROUND(AX11*AY$8,0)</f>
        <v>#N/A</v>
      </c>
      <c r="AZ11" s="53"/>
      <c r="BA11" s="56"/>
      <c r="BB11" s="56"/>
      <c r="BC11" s="83" t="e">
        <f>ROUND(AZ11*(HLOOKUP(AZ$7,$D$9:$G11,ROW()-8,0)+BC$8),0)+ROUND(BB11*BC$8,0)</f>
        <v>#N/A</v>
      </c>
      <c r="BD11" s="53"/>
      <c r="BE11" s="56"/>
      <c r="BF11" s="56"/>
      <c r="BG11" s="83" t="e">
        <f>ROUND(BD11*(HLOOKUP(BD$7,$D$9:$G11,ROW()-8,0)+BG$8),0)+ROUND(BF11*BG$8,0)</f>
        <v>#N/A</v>
      </c>
      <c r="BH11" s="53"/>
      <c r="BI11" s="56"/>
      <c r="BJ11" s="56"/>
      <c r="BK11" s="83" t="e">
        <f>ROUND(BH11*(HLOOKUP(BH$7,$D$9:$G11,ROW()-8,0)+BK$8),0)+ROUND(BJ11*BK$8,0)</f>
        <v>#N/A</v>
      </c>
      <c r="BL11" s="53"/>
      <c r="BM11" s="56"/>
      <c r="BN11" s="56"/>
      <c r="BO11" s="83" t="e">
        <f>ROUND(BL11*(HLOOKUP(BL$7,$D$9:$G11,ROW()-8,0)+BO$8),0)+ROUND(BN11*BO$8,0)</f>
        <v>#N/A</v>
      </c>
      <c r="BP11" s="53"/>
      <c r="BQ11" s="56"/>
      <c r="BR11" s="56"/>
      <c r="BS11" s="83" t="e">
        <f>ROUND(BP11*(HLOOKUP(BP$7,$D$9:$G11,ROW()-8,0)+BS$8),0)+ROUND(BR11*BS$8,0)</f>
        <v>#N/A</v>
      </c>
      <c r="BT11" s="54">
        <f t="shared" ref="BT11:BW74" si="2">SUMIF($H$7:$BP$7,BT$8,$K11:$BS11)</f>
        <v>0</v>
      </c>
      <c r="BU11" s="54">
        <f t="shared" si="0"/>
        <v>0</v>
      </c>
      <c r="BV11" s="54">
        <f t="shared" si="0"/>
        <v>0</v>
      </c>
      <c r="BW11" s="54">
        <f t="shared" si="0"/>
        <v>0</v>
      </c>
      <c r="BX11" s="63"/>
      <c r="BY11" s="107"/>
      <c r="BZ11" s="57" t="e">
        <f t="shared" si="1"/>
        <v>#DIV/0!</v>
      </c>
    </row>
    <row r="12" spans="1:78" ht="17.25">
      <c r="C12" s="64"/>
      <c r="D12" s="105"/>
      <c r="E12" s="106"/>
      <c r="F12" s="106"/>
      <c r="G12" s="110"/>
      <c r="H12" s="95"/>
      <c r="I12" s="56"/>
      <c r="J12" s="56"/>
      <c r="K12" s="83" t="e">
        <f>ROUND(H12*(HLOOKUP(H$7,$D$9:$G12,ROW()-8,0)+K$8),0)+ROUND(J12*K$8,0)</f>
        <v>#N/A</v>
      </c>
      <c r="L12" s="53"/>
      <c r="M12" s="56"/>
      <c r="N12" s="56"/>
      <c r="O12" s="83" t="e">
        <f>ROUND(L12*(HLOOKUP(L$7,$D$9:$G12,ROW()-8,0)+O$8),0)+ROUND(N12*O$8,0)</f>
        <v>#N/A</v>
      </c>
      <c r="P12" s="53"/>
      <c r="Q12" s="56"/>
      <c r="R12" s="56"/>
      <c r="S12" s="83" t="e">
        <f>ROUND(P12*(HLOOKUP(P$7,$D$9:$G12,ROW()-8,0)+S$8),0)+ROUND(R12*S$8,0)</f>
        <v>#N/A</v>
      </c>
      <c r="T12" s="53"/>
      <c r="U12" s="56"/>
      <c r="V12" s="56"/>
      <c r="W12" s="83" t="e">
        <f>ROUND(T12*(HLOOKUP(T$7,$D$9:$G12,ROW()-8,0)+W$8),0)+ROUND(V12*W$8,0)</f>
        <v>#N/A</v>
      </c>
      <c r="X12" s="53"/>
      <c r="Y12" s="56"/>
      <c r="Z12" s="56"/>
      <c r="AA12" s="83" t="e">
        <f>ROUND(X12*(HLOOKUP(X$7,$D$9:$G12,ROW()-8,0)+AA$8),0)+ROUND(Z12*AA$8,0)</f>
        <v>#N/A</v>
      </c>
      <c r="AB12" s="53"/>
      <c r="AC12" s="56"/>
      <c r="AD12" s="56"/>
      <c r="AE12" s="83" t="e">
        <f>ROUND(AB12*(HLOOKUP(AB$7,$D$9:$G12,ROW()-8,0)+AE$8),0)+ROUND(AD12*AE$8,0)</f>
        <v>#N/A</v>
      </c>
      <c r="AF12" s="53"/>
      <c r="AG12" s="56"/>
      <c r="AH12" s="56"/>
      <c r="AI12" s="83" t="e">
        <f>ROUND(AF12*(HLOOKUP(AF$7,$D$9:$G12,ROW()-8,0)+AI$8),0)+ROUND(AH12*AI$8,0)</f>
        <v>#N/A</v>
      </c>
      <c r="AJ12" s="53"/>
      <c r="AK12" s="56"/>
      <c r="AL12" s="56"/>
      <c r="AM12" s="83" t="e">
        <f>ROUND(AJ12*(HLOOKUP(AJ$7,$D$9:$G12,ROW()-8,0)+AM$8),0)+ROUND(AL12*AM$8,0)</f>
        <v>#N/A</v>
      </c>
      <c r="AN12" s="53"/>
      <c r="AO12" s="56"/>
      <c r="AP12" s="56"/>
      <c r="AQ12" s="83" t="e">
        <f>ROUND(AN12*(HLOOKUP(AN$7,$D$9:$G12,ROW()-8,0)+AQ$8),0)+ROUND(AP12*AQ$8,0)</f>
        <v>#N/A</v>
      </c>
      <c r="AR12" s="53"/>
      <c r="AS12" s="56"/>
      <c r="AT12" s="56"/>
      <c r="AU12" s="83" t="e">
        <f>ROUND(AR12*(HLOOKUP(AR$7,$D$9:$G12,ROW()-8,0)+AU$8),0)+ROUND(AT12*AU$8,0)</f>
        <v>#N/A</v>
      </c>
      <c r="AV12" s="53"/>
      <c r="AW12" s="56"/>
      <c r="AX12" s="56"/>
      <c r="AY12" s="83" t="e">
        <f>ROUND(AV12*(HLOOKUP(AV$7,$D$9:$G12,ROW()-8,0)+AY$8),0)+ROUND(AX12*AY$8,0)</f>
        <v>#N/A</v>
      </c>
      <c r="AZ12" s="53"/>
      <c r="BA12" s="56"/>
      <c r="BB12" s="56"/>
      <c r="BC12" s="83" t="e">
        <f>ROUND(AZ12*(HLOOKUP(AZ$7,$D$9:$G12,ROW()-8,0)+BC$8),0)+ROUND(BB12*BC$8,0)</f>
        <v>#N/A</v>
      </c>
      <c r="BD12" s="53"/>
      <c r="BE12" s="56"/>
      <c r="BF12" s="56"/>
      <c r="BG12" s="83" t="e">
        <f>ROUND(BD12*(HLOOKUP(BD$7,$D$9:$G12,ROW()-8,0)+BG$8),0)+ROUND(BF12*BG$8,0)</f>
        <v>#N/A</v>
      </c>
      <c r="BH12" s="53"/>
      <c r="BI12" s="56"/>
      <c r="BJ12" s="56"/>
      <c r="BK12" s="83" t="e">
        <f>ROUND(BH12*(HLOOKUP(BH$7,$D$9:$G12,ROW()-8,0)+BK$8),0)+ROUND(BJ12*BK$8,0)</f>
        <v>#N/A</v>
      </c>
      <c r="BL12" s="53"/>
      <c r="BM12" s="56"/>
      <c r="BN12" s="56"/>
      <c r="BO12" s="83" t="e">
        <f>ROUND(BL12*(HLOOKUP(BL$7,$D$9:$G12,ROW()-8,0)+BO$8),0)+ROUND(BN12*BO$8,0)</f>
        <v>#N/A</v>
      </c>
      <c r="BP12" s="53"/>
      <c r="BQ12" s="56"/>
      <c r="BR12" s="56"/>
      <c r="BS12" s="83" t="e">
        <f>ROUND(BP12*(HLOOKUP(BP$7,$D$9:$G12,ROW()-8,0)+BS$8),0)+ROUND(BR12*BS$8,0)</f>
        <v>#N/A</v>
      </c>
      <c r="BT12" s="54">
        <f t="shared" si="2"/>
        <v>0</v>
      </c>
      <c r="BU12" s="54">
        <f t="shared" si="0"/>
        <v>0</v>
      </c>
      <c r="BV12" s="54">
        <f t="shared" si="0"/>
        <v>0</v>
      </c>
      <c r="BW12" s="54">
        <f t="shared" si="0"/>
        <v>0</v>
      </c>
      <c r="BX12" s="63"/>
      <c r="BY12" s="107"/>
      <c r="BZ12" s="57" t="e">
        <f t="shared" si="1"/>
        <v>#DIV/0!</v>
      </c>
    </row>
    <row r="13" spans="1:78" ht="17.25">
      <c r="C13" s="64"/>
      <c r="D13" s="105"/>
      <c r="E13" s="106"/>
      <c r="F13" s="106"/>
      <c r="G13" s="110"/>
      <c r="H13" s="95"/>
      <c r="I13" s="56"/>
      <c r="J13" s="56"/>
      <c r="K13" s="83" t="e">
        <f>ROUND(H13*(HLOOKUP(H$7,$D$9:$G13,ROW()-8,0)+K$8),0)+ROUND(J13*K$8,0)</f>
        <v>#N/A</v>
      </c>
      <c r="L13" s="53"/>
      <c r="M13" s="56"/>
      <c r="N13" s="56"/>
      <c r="O13" s="83" t="e">
        <f>ROUND(L13*(HLOOKUP(L$7,$D$9:$G13,ROW()-8,0)+O$8),0)+ROUND(N13*O$8,0)</f>
        <v>#N/A</v>
      </c>
      <c r="P13" s="53"/>
      <c r="Q13" s="56"/>
      <c r="R13" s="56"/>
      <c r="S13" s="83" t="e">
        <f>ROUND(P13*(HLOOKUP(P$7,$D$9:$G13,ROW()-8,0)+S$8),0)+ROUND(R13*S$8,0)</f>
        <v>#N/A</v>
      </c>
      <c r="T13" s="53"/>
      <c r="U13" s="56"/>
      <c r="V13" s="56"/>
      <c r="W13" s="83" t="e">
        <f>ROUND(T13*(HLOOKUP(T$7,$D$9:$G13,ROW()-8,0)+W$8),0)+ROUND(V13*W$8,0)</f>
        <v>#N/A</v>
      </c>
      <c r="X13" s="53"/>
      <c r="Y13" s="56"/>
      <c r="Z13" s="56"/>
      <c r="AA13" s="83" t="e">
        <f>ROUND(X13*(HLOOKUP(X$7,$D$9:$G13,ROW()-8,0)+AA$8),0)+ROUND(Z13*AA$8,0)</f>
        <v>#N/A</v>
      </c>
      <c r="AB13" s="53"/>
      <c r="AC13" s="56"/>
      <c r="AD13" s="56"/>
      <c r="AE13" s="83" t="e">
        <f>ROUND(AB13*(HLOOKUP(AB$7,$D$9:$G13,ROW()-8,0)+AE$8),0)+ROUND(AD13*AE$8,0)</f>
        <v>#N/A</v>
      </c>
      <c r="AF13" s="53"/>
      <c r="AG13" s="56"/>
      <c r="AH13" s="56"/>
      <c r="AI13" s="83" t="e">
        <f>ROUND(AF13*(HLOOKUP(AF$7,$D$9:$G13,ROW()-8,0)+AI$8),0)+ROUND(AH13*AI$8,0)</f>
        <v>#N/A</v>
      </c>
      <c r="AJ13" s="53"/>
      <c r="AK13" s="56"/>
      <c r="AL13" s="56"/>
      <c r="AM13" s="83" t="e">
        <f>ROUND(AJ13*(HLOOKUP(AJ$7,$D$9:$G13,ROW()-8,0)+AM$8),0)+ROUND(AL13*AM$8,0)</f>
        <v>#N/A</v>
      </c>
      <c r="AN13" s="53"/>
      <c r="AO13" s="56"/>
      <c r="AP13" s="56"/>
      <c r="AQ13" s="83" t="e">
        <f>ROUND(AN13*(HLOOKUP(AN$7,$D$9:$G13,ROW()-8,0)+AQ$8),0)+ROUND(AP13*AQ$8,0)</f>
        <v>#N/A</v>
      </c>
      <c r="AR13" s="53"/>
      <c r="AS13" s="56"/>
      <c r="AT13" s="56"/>
      <c r="AU13" s="83" t="e">
        <f>ROUND(AR13*(HLOOKUP(AR$7,$D$9:$G13,ROW()-8,0)+AU$8),0)+ROUND(AT13*AU$8,0)</f>
        <v>#N/A</v>
      </c>
      <c r="AV13" s="53"/>
      <c r="AW13" s="56"/>
      <c r="AX13" s="56"/>
      <c r="AY13" s="83" t="e">
        <f>ROUND(AV13*(HLOOKUP(AV$7,$D$9:$G13,ROW()-8,0)+AY$8),0)+ROUND(AX13*AY$8,0)</f>
        <v>#N/A</v>
      </c>
      <c r="AZ13" s="53"/>
      <c r="BA13" s="56"/>
      <c r="BB13" s="56"/>
      <c r="BC13" s="83" t="e">
        <f>ROUND(AZ13*(HLOOKUP(AZ$7,$D$9:$G13,ROW()-8,0)+BC$8),0)+ROUND(BB13*BC$8,0)</f>
        <v>#N/A</v>
      </c>
      <c r="BD13" s="53"/>
      <c r="BE13" s="56"/>
      <c r="BF13" s="56"/>
      <c r="BG13" s="83" t="e">
        <f>ROUND(BD13*(HLOOKUP(BD$7,$D$9:$G13,ROW()-8,0)+BG$8),0)+ROUND(BF13*BG$8,0)</f>
        <v>#N/A</v>
      </c>
      <c r="BH13" s="53"/>
      <c r="BI13" s="56"/>
      <c r="BJ13" s="56"/>
      <c r="BK13" s="83" t="e">
        <f>ROUND(BH13*(HLOOKUP(BH$7,$D$9:$G13,ROW()-8,0)+BK$8),0)+ROUND(BJ13*BK$8,0)</f>
        <v>#N/A</v>
      </c>
      <c r="BL13" s="53"/>
      <c r="BM13" s="56"/>
      <c r="BN13" s="56"/>
      <c r="BO13" s="83" t="e">
        <f>ROUND(BL13*(HLOOKUP(BL$7,$D$9:$G13,ROW()-8,0)+BO$8),0)+ROUND(BN13*BO$8,0)</f>
        <v>#N/A</v>
      </c>
      <c r="BP13" s="53"/>
      <c r="BQ13" s="56"/>
      <c r="BR13" s="56"/>
      <c r="BS13" s="83" t="e">
        <f>ROUND(BP13*(HLOOKUP(BP$7,$D$9:$G13,ROW()-8,0)+BS$8),0)+ROUND(BR13*BS$8,0)</f>
        <v>#N/A</v>
      </c>
      <c r="BT13" s="54">
        <f t="shared" si="2"/>
        <v>0</v>
      </c>
      <c r="BU13" s="54">
        <f t="shared" si="0"/>
        <v>0</v>
      </c>
      <c r="BV13" s="54">
        <f t="shared" si="0"/>
        <v>0</v>
      </c>
      <c r="BW13" s="54">
        <f t="shared" si="0"/>
        <v>0</v>
      </c>
      <c r="BX13" s="63"/>
      <c r="BY13" s="107"/>
      <c r="BZ13" s="57" t="e">
        <f t="shared" si="1"/>
        <v>#DIV/0!</v>
      </c>
    </row>
    <row r="14" spans="1:78" ht="17.25">
      <c r="C14" s="64"/>
      <c r="D14" s="105"/>
      <c r="E14" s="106"/>
      <c r="F14" s="106"/>
      <c r="G14" s="110"/>
      <c r="H14" s="95"/>
      <c r="I14" s="56"/>
      <c r="J14" s="56"/>
      <c r="K14" s="83" t="e">
        <f>ROUND(H14*(HLOOKUP(H$7,$D$9:$G14,ROW()-8,0)+K$8),0)+ROUND(J14*K$8,0)</f>
        <v>#N/A</v>
      </c>
      <c r="L14" s="53"/>
      <c r="M14" s="56"/>
      <c r="N14" s="56"/>
      <c r="O14" s="83" t="e">
        <f>ROUND(L14*(HLOOKUP(L$7,$D$9:$G14,ROW()-8,0)+O$8),0)+ROUND(N14*O$8,0)</f>
        <v>#N/A</v>
      </c>
      <c r="P14" s="53"/>
      <c r="Q14" s="56"/>
      <c r="R14" s="56"/>
      <c r="S14" s="83" t="e">
        <f>ROUND(P14*(HLOOKUP(P$7,$D$9:$G14,ROW()-8,0)+S$8),0)+ROUND(R14*S$8,0)</f>
        <v>#N/A</v>
      </c>
      <c r="T14" s="53"/>
      <c r="U14" s="56"/>
      <c r="V14" s="56"/>
      <c r="W14" s="83" t="e">
        <f>ROUND(T14*(HLOOKUP(T$7,$D$9:$G14,ROW()-8,0)+W$8),0)+ROUND(V14*W$8,0)</f>
        <v>#N/A</v>
      </c>
      <c r="X14" s="53"/>
      <c r="Y14" s="56"/>
      <c r="Z14" s="56"/>
      <c r="AA14" s="83" t="e">
        <f>ROUND(X14*(HLOOKUP(X$7,$D$9:$G14,ROW()-8,0)+AA$8),0)+ROUND(Z14*AA$8,0)</f>
        <v>#N/A</v>
      </c>
      <c r="AB14" s="53"/>
      <c r="AC14" s="56"/>
      <c r="AD14" s="56"/>
      <c r="AE14" s="83" t="e">
        <f>ROUND(AB14*(HLOOKUP(AB$7,$D$9:$G14,ROW()-8,0)+AE$8),0)+ROUND(AD14*AE$8,0)</f>
        <v>#N/A</v>
      </c>
      <c r="AF14" s="53"/>
      <c r="AG14" s="56"/>
      <c r="AH14" s="56"/>
      <c r="AI14" s="83" t="e">
        <f>ROUND(AF14*(HLOOKUP(AF$7,$D$9:$G14,ROW()-8,0)+AI$8),0)+ROUND(AH14*AI$8,0)</f>
        <v>#N/A</v>
      </c>
      <c r="AJ14" s="53"/>
      <c r="AK14" s="56"/>
      <c r="AL14" s="56"/>
      <c r="AM14" s="83" t="e">
        <f>ROUND(AJ14*(HLOOKUP(AJ$7,$D$9:$G14,ROW()-8,0)+AM$8),0)+ROUND(AL14*AM$8,0)</f>
        <v>#N/A</v>
      </c>
      <c r="AN14" s="53"/>
      <c r="AO14" s="56"/>
      <c r="AP14" s="56"/>
      <c r="AQ14" s="83" t="e">
        <f>ROUND(AN14*(HLOOKUP(AN$7,$D$9:$G14,ROW()-8,0)+AQ$8),0)+ROUND(AP14*AQ$8,0)</f>
        <v>#N/A</v>
      </c>
      <c r="AR14" s="53"/>
      <c r="AS14" s="56"/>
      <c r="AT14" s="56"/>
      <c r="AU14" s="83" t="e">
        <f>ROUND(AR14*(HLOOKUP(AR$7,$D$9:$G14,ROW()-8,0)+AU$8),0)+ROUND(AT14*AU$8,0)</f>
        <v>#N/A</v>
      </c>
      <c r="AV14" s="53"/>
      <c r="AW14" s="56"/>
      <c r="AX14" s="56"/>
      <c r="AY14" s="83" t="e">
        <f>ROUND(AV14*(HLOOKUP(AV$7,$D$9:$G14,ROW()-8,0)+AY$8),0)+ROUND(AX14*AY$8,0)</f>
        <v>#N/A</v>
      </c>
      <c r="AZ14" s="53"/>
      <c r="BA14" s="56"/>
      <c r="BB14" s="56"/>
      <c r="BC14" s="83" t="e">
        <f>ROUND(AZ14*(HLOOKUP(AZ$7,$D$9:$G14,ROW()-8,0)+BC$8),0)+ROUND(BB14*BC$8,0)</f>
        <v>#N/A</v>
      </c>
      <c r="BD14" s="53"/>
      <c r="BE14" s="56"/>
      <c r="BF14" s="56"/>
      <c r="BG14" s="83" t="e">
        <f>ROUND(BD14*(HLOOKUP(BD$7,$D$9:$G14,ROW()-8,0)+BG$8),0)+ROUND(BF14*BG$8,0)</f>
        <v>#N/A</v>
      </c>
      <c r="BH14" s="53"/>
      <c r="BI14" s="56"/>
      <c r="BJ14" s="56"/>
      <c r="BK14" s="83" t="e">
        <f>ROUND(BH14*(HLOOKUP(BH$7,$D$9:$G14,ROW()-8,0)+BK$8),0)+ROUND(BJ14*BK$8,0)</f>
        <v>#N/A</v>
      </c>
      <c r="BL14" s="53"/>
      <c r="BM14" s="56"/>
      <c r="BN14" s="56"/>
      <c r="BO14" s="83" t="e">
        <f>ROUND(BL14*(HLOOKUP(BL$7,$D$9:$G14,ROW()-8,0)+BO$8),0)+ROUND(BN14*BO$8,0)</f>
        <v>#N/A</v>
      </c>
      <c r="BP14" s="53"/>
      <c r="BQ14" s="56"/>
      <c r="BR14" s="56"/>
      <c r="BS14" s="83" t="e">
        <f>ROUND(BP14*(HLOOKUP(BP$7,$D$9:$G14,ROW()-8,0)+BS$8),0)+ROUND(BR14*BS$8,0)</f>
        <v>#N/A</v>
      </c>
      <c r="BT14" s="54">
        <f t="shared" si="2"/>
        <v>0</v>
      </c>
      <c r="BU14" s="54">
        <f t="shared" si="0"/>
        <v>0</v>
      </c>
      <c r="BV14" s="54">
        <f t="shared" si="0"/>
        <v>0</v>
      </c>
      <c r="BW14" s="54">
        <f t="shared" si="0"/>
        <v>0</v>
      </c>
      <c r="BX14" s="63"/>
      <c r="BY14" s="107"/>
      <c r="BZ14" s="57" t="e">
        <f t="shared" si="1"/>
        <v>#DIV/0!</v>
      </c>
    </row>
    <row r="15" spans="1:78" ht="17.25">
      <c r="C15" s="64"/>
      <c r="D15" s="105"/>
      <c r="E15" s="106"/>
      <c r="F15" s="106"/>
      <c r="G15" s="110"/>
      <c r="H15" s="95"/>
      <c r="I15" s="56"/>
      <c r="J15" s="56"/>
      <c r="K15" s="83" t="e">
        <f>ROUND(H15*(HLOOKUP(H$7,$D$9:$G15,ROW()-8,0)+K$8),0)+ROUND(J15*K$8,0)</f>
        <v>#N/A</v>
      </c>
      <c r="L15" s="53"/>
      <c r="M15" s="56"/>
      <c r="N15" s="56"/>
      <c r="O15" s="83" t="e">
        <f>ROUND(L15*(HLOOKUP(L$7,$D$9:$G15,ROW()-8,0)+O$8),0)+ROUND(N15*O$8,0)</f>
        <v>#N/A</v>
      </c>
      <c r="P15" s="53"/>
      <c r="Q15" s="56"/>
      <c r="R15" s="56"/>
      <c r="S15" s="83" t="e">
        <f>ROUND(P15*(HLOOKUP(P$7,$D$9:$G15,ROW()-8,0)+S$8),0)+ROUND(R15*S$8,0)</f>
        <v>#N/A</v>
      </c>
      <c r="T15" s="53"/>
      <c r="U15" s="56"/>
      <c r="V15" s="56"/>
      <c r="W15" s="83" t="e">
        <f>ROUND(T15*(HLOOKUP(T$7,$D$9:$G15,ROW()-8,0)+W$8),0)+ROUND(V15*W$8,0)</f>
        <v>#N/A</v>
      </c>
      <c r="X15" s="53"/>
      <c r="Y15" s="56"/>
      <c r="Z15" s="56"/>
      <c r="AA15" s="83" t="e">
        <f>ROUND(X15*(HLOOKUP(X$7,$D$9:$G15,ROW()-8,0)+AA$8),0)+ROUND(Z15*AA$8,0)</f>
        <v>#N/A</v>
      </c>
      <c r="AB15" s="53"/>
      <c r="AC15" s="56"/>
      <c r="AD15" s="56"/>
      <c r="AE15" s="83" t="e">
        <f>ROUND(AB15*(HLOOKUP(AB$7,$D$9:$G15,ROW()-8,0)+AE$8),0)+ROUND(AD15*AE$8,0)</f>
        <v>#N/A</v>
      </c>
      <c r="AF15" s="53"/>
      <c r="AG15" s="56"/>
      <c r="AH15" s="56"/>
      <c r="AI15" s="83" t="e">
        <f>ROUND(AF15*(HLOOKUP(AF$7,$D$9:$G15,ROW()-8,0)+AI$8),0)+ROUND(AH15*AI$8,0)</f>
        <v>#N/A</v>
      </c>
      <c r="AJ15" s="53"/>
      <c r="AK15" s="56"/>
      <c r="AL15" s="56"/>
      <c r="AM15" s="83" t="e">
        <f>ROUND(AJ15*(HLOOKUP(AJ$7,$D$9:$G15,ROW()-8,0)+AM$8),0)+ROUND(AL15*AM$8,0)</f>
        <v>#N/A</v>
      </c>
      <c r="AN15" s="53"/>
      <c r="AO15" s="56"/>
      <c r="AP15" s="56"/>
      <c r="AQ15" s="83" t="e">
        <f>ROUND(AN15*(HLOOKUP(AN$7,$D$9:$G15,ROW()-8,0)+AQ$8),0)+ROUND(AP15*AQ$8,0)</f>
        <v>#N/A</v>
      </c>
      <c r="AR15" s="53"/>
      <c r="AS15" s="56"/>
      <c r="AT15" s="56"/>
      <c r="AU15" s="83" t="e">
        <f>ROUND(AR15*(HLOOKUP(AR$7,$D$9:$G15,ROW()-8,0)+AU$8),0)+ROUND(AT15*AU$8,0)</f>
        <v>#N/A</v>
      </c>
      <c r="AV15" s="53"/>
      <c r="AW15" s="56"/>
      <c r="AX15" s="56"/>
      <c r="AY15" s="83" t="e">
        <f>ROUND(AV15*(HLOOKUP(AV$7,$D$9:$G15,ROW()-8,0)+AY$8),0)+ROUND(AX15*AY$8,0)</f>
        <v>#N/A</v>
      </c>
      <c r="AZ15" s="53"/>
      <c r="BA15" s="56"/>
      <c r="BB15" s="56"/>
      <c r="BC15" s="83" t="e">
        <f>ROUND(AZ15*(HLOOKUP(AZ$7,$D$9:$G15,ROW()-8,0)+BC$8),0)+ROUND(BB15*BC$8,0)</f>
        <v>#N/A</v>
      </c>
      <c r="BD15" s="53"/>
      <c r="BE15" s="56"/>
      <c r="BF15" s="56"/>
      <c r="BG15" s="83" t="e">
        <f>ROUND(BD15*(HLOOKUP(BD$7,$D$9:$G15,ROW()-8,0)+BG$8),0)+ROUND(BF15*BG$8,0)</f>
        <v>#N/A</v>
      </c>
      <c r="BH15" s="53"/>
      <c r="BI15" s="56"/>
      <c r="BJ15" s="56"/>
      <c r="BK15" s="83" t="e">
        <f>ROUND(BH15*(HLOOKUP(BH$7,$D$9:$G15,ROW()-8,0)+BK$8),0)+ROUND(BJ15*BK$8,0)</f>
        <v>#N/A</v>
      </c>
      <c r="BL15" s="53"/>
      <c r="BM15" s="56"/>
      <c r="BN15" s="56"/>
      <c r="BO15" s="83" t="e">
        <f>ROUND(BL15*(HLOOKUP(BL$7,$D$9:$G15,ROW()-8,0)+BO$8),0)+ROUND(BN15*BO$8,0)</f>
        <v>#N/A</v>
      </c>
      <c r="BP15" s="53"/>
      <c r="BQ15" s="56"/>
      <c r="BR15" s="56"/>
      <c r="BS15" s="83" t="e">
        <f>ROUND(BP15*(HLOOKUP(BP$7,$D$9:$G15,ROW()-8,0)+BS$8),0)+ROUND(BR15*BS$8,0)</f>
        <v>#N/A</v>
      </c>
      <c r="BT15" s="54">
        <f t="shared" si="2"/>
        <v>0</v>
      </c>
      <c r="BU15" s="54">
        <f t="shared" si="0"/>
        <v>0</v>
      </c>
      <c r="BV15" s="54">
        <f t="shared" si="0"/>
        <v>0</v>
      </c>
      <c r="BW15" s="54">
        <f t="shared" si="0"/>
        <v>0</v>
      </c>
      <c r="BX15" s="63"/>
      <c r="BY15" s="107"/>
      <c r="BZ15" s="57" t="e">
        <f t="shared" si="1"/>
        <v>#DIV/0!</v>
      </c>
    </row>
    <row r="16" spans="1:78" ht="17.25">
      <c r="C16" s="64"/>
      <c r="D16" s="105"/>
      <c r="E16" s="106"/>
      <c r="F16" s="106"/>
      <c r="G16" s="110"/>
      <c r="H16" s="95"/>
      <c r="I16" s="56"/>
      <c r="J16" s="56"/>
      <c r="K16" s="83" t="e">
        <f>ROUND(H16*(HLOOKUP(H$7,$D$9:$G16,ROW()-8,0)+K$8),0)+ROUND(J16*K$8,0)</f>
        <v>#N/A</v>
      </c>
      <c r="L16" s="53"/>
      <c r="M16" s="56"/>
      <c r="N16" s="56"/>
      <c r="O16" s="83" t="e">
        <f>ROUND(L16*(HLOOKUP(L$7,$D$9:$G16,ROW()-8,0)+O$8),0)+ROUND(N16*O$8,0)</f>
        <v>#N/A</v>
      </c>
      <c r="P16" s="53"/>
      <c r="Q16" s="56"/>
      <c r="R16" s="56"/>
      <c r="S16" s="83" t="e">
        <f>ROUND(P16*(HLOOKUP(P$7,$D$9:$G16,ROW()-8,0)+S$8),0)+ROUND(R16*S$8,0)</f>
        <v>#N/A</v>
      </c>
      <c r="T16" s="53"/>
      <c r="U16" s="56"/>
      <c r="V16" s="56"/>
      <c r="W16" s="83" t="e">
        <f>ROUND(T16*(HLOOKUP(T$7,$D$9:$G16,ROW()-8,0)+W$8),0)+ROUND(V16*W$8,0)</f>
        <v>#N/A</v>
      </c>
      <c r="X16" s="53"/>
      <c r="Y16" s="56"/>
      <c r="Z16" s="56"/>
      <c r="AA16" s="83" t="e">
        <f>ROUND(X16*(HLOOKUP(X$7,$D$9:$G16,ROW()-8,0)+AA$8),0)+ROUND(Z16*AA$8,0)</f>
        <v>#N/A</v>
      </c>
      <c r="AB16" s="53"/>
      <c r="AC16" s="56"/>
      <c r="AD16" s="56"/>
      <c r="AE16" s="83" t="e">
        <f>ROUND(AB16*(HLOOKUP(AB$7,$D$9:$G16,ROW()-8,0)+AE$8),0)+ROUND(AD16*AE$8,0)</f>
        <v>#N/A</v>
      </c>
      <c r="AF16" s="53"/>
      <c r="AG16" s="56"/>
      <c r="AH16" s="56"/>
      <c r="AI16" s="83" t="e">
        <f>ROUND(AF16*(HLOOKUP(AF$7,$D$9:$G16,ROW()-8,0)+AI$8),0)+ROUND(AH16*AI$8,0)</f>
        <v>#N/A</v>
      </c>
      <c r="AJ16" s="53"/>
      <c r="AK16" s="56"/>
      <c r="AL16" s="56"/>
      <c r="AM16" s="83" t="e">
        <f>ROUND(AJ16*(HLOOKUP(AJ$7,$D$9:$G16,ROW()-8,0)+AM$8),0)+ROUND(AL16*AM$8,0)</f>
        <v>#N/A</v>
      </c>
      <c r="AN16" s="53"/>
      <c r="AO16" s="56"/>
      <c r="AP16" s="56"/>
      <c r="AQ16" s="83" t="e">
        <f>ROUND(AN16*(HLOOKUP(AN$7,$D$9:$G16,ROW()-8,0)+AQ$8),0)+ROUND(AP16*AQ$8,0)</f>
        <v>#N/A</v>
      </c>
      <c r="AR16" s="53"/>
      <c r="AS16" s="56"/>
      <c r="AT16" s="56"/>
      <c r="AU16" s="83" t="e">
        <f>ROUND(AR16*(HLOOKUP(AR$7,$D$9:$G16,ROW()-8,0)+AU$8),0)+ROUND(AT16*AU$8,0)</f>
        <v>#N/A</v>
      </c>
      <c r="AV16" s="53"/>
      <c r="AW16" s="56"/>
      <c r="AX16" s="56"/>
      <c r="AY16" s="83" t="e">
        <f>ROUND(AV16*(HLOOKUP(AV$7,$D$9:$G16,ROW()-8,0)+AY$8),0)+ROUND(AX16*AY$8,0)</f>
        <v>#N/A</v>
      </c>
      <c r="AZ16" s="53"/>
      <c r="BA16" s="56"/>
      <c r="BB16" s="56"/>
      <c r="BC16" s="83" t="e">
        <f>ROUND(AZ16*(HLOOKUP(AZ$7,$D$9:$G16,ROW()-8,0)+BC$8),0)+ROUND(BB16*BC$8,0)</f>
        <v>#N/A</v>
      </c>
      <c r="BD16" s="53"/>
      <c r="BE16" s="56"/>
      <c r="BF16" s="56"/>
      <c r="BG16" s="83" t="e">
        <f>ROUND(BD16*(HLOOKUP(BD$7,$D$9:$G16,ROW()-8,0)+BG$8),0)+ROUND(BF16*BG$8,0)</f>
        <v>#N/A</v>
      </c>
      <c r="BH16" s="53"/>
      <c r="BI16" s="56"/>
      <c r="BJ16" s="56"/>
      <c r="BK16" s="83" t="e">
        <f>ROUND(BH16*(HLOOKUP(BH$7,$D$9:$G16,ROW()-8,0)+BK$8),0)+ROUND(BJ16*BK$8,0)</f>
        <v>#N/A</v>
      </c>
      <c r="BL16" s="53"/>
      <c r="BM16" s="56"/>
      <c r="BN16" s="56"/>
      <c r="BO16" s="83" t="e">
        <f>ROUND(BL16*(HLOOKUP(BL$7,$D$9:$G16,ROW()-8,0)+BO$8),0)+ROUND(BN16*BO$8,0)</f>
        <v>#N/A</v>
      </c>
      <c r="BP16" s="53"/>
      <c r="BQ16" s="56"/>
      <c r="BR16" s="56"/>
      <c r="BS16" s="83" t="e">
        <f>ROUND(BP16*(HLOOKUP(BP$7,$D$9:$G16,ROW()-8,0)+BS$8),0)+ROUND(BR16*BS$8,0)</f>
        <v>#N/A</v>
      </c>
      <c r="BT16" s="54">
        <f t="shared" si="2"/>
        <v>0</v>
      </c>
      <c r="BU16" s="54">
        <f t="shared" si="0"/>
        <v>0</v>
      </c>
      <c r="BV16" s="54">
        <f t="shared" si="0"/>
        <v>0</v>
      </c>
      <c r="BW16" s="54">
        <f t="shared" si="0"/>
        <v>0</v>
      </c>
      <c r="BX16" s="63"/>
      <c r="BY16" s="107"/>
      <c r="BZ16" s="57" t="e">
        <f t="shared" si="1"/>
        <v>#DIV/0!</v>
      </c>
    </row>
    <row r="17" spans="3:78" ht="17.25">
      <c r="C17" s="64"/>
      <c r="D17" s="105"/>
      <c r="E17" s="106"/>
      <c r="F17" s="106"/>
      <c r="G17" s="110"/>
      <c r="H17" s="95"/>
      <c r="I17" s="56"/>
      <c r="J17" s="56"/>
      <c r="K17" s="83" t="e">
        <f>ROUND(H17*(HLOOKUP(H$7,$D$9:$G17,ROW()-8,0)+K$8),0)+ROUND(J17*K$8,0)</f>
        <v>#N/A</v>
      </c>
      <c r="L17" s="53"/>
      <c r="M17" s="56"/>
      <c r="N17" s="56"/>
      <c r="O17" s="83" t="e">
        <f>ROUND(L17*(HLOOKUP(L$7,$D$9:$G17,ROW()-8,0)+O$8),0)+ROUND(N17*O$8,0)</f>
        <v>#N/A</v>
      </c>
      <c r="P17" s="53"/>
      <c r="Q17" s="56"/>
      <c r="R17" s="56"/>
      <c r="S17" s="83" t="e">
        <f>ROUND(P17*(HLOOKUP(P$7,$D$9:$G17,ROW()-8,0)+S$8),0)+ROUND(R17*S$8,0)</f>
        <v>#N/A</v>
      </c>
      <c r="T17" s="53"/>
      <c r="U17" s="56"/>
      <c r="V17" s="56"/>
      <c r="W17" s="83" t="e">
        <f>ROUND(T17*(HLOOKUP(T$7,$D$9:$G17,ROW()-8,0)+W$8),0)+ROUND(V17*W$8,0)</f>
        <v>#N/A</v>
      </c>
      <c r="X17" s="53"/>
      <c r="Y17" s="56"/>
      <c r="Z17" s="56"/>
      <c r="AA17" s="83" t="e">
        <f>ROUND(X17*(HLOOKUP(X$7,$D$9:$G17,ROW()-8,0)+AA$8),0)+ROUND(Z17*AA$8,0)</f>
        <v>#N/A</v>
      </c>
      <c r="AB17" s="53"/>
      <c r="AC17" s="56"/>
      <c r="AD17" s="56"/>
      <c r="AE17" s="83" t="e">
        <f>ROUND(AB17*(HLOOKUP(AB$7,$D$9:$G17,ROW()-8,0)+AE$8),0)+ROUND(AD17*AE$8,0)</f>
        <v>#N/A</v>
      </c>
      <c r="AF17" s="53"/>
      <c r="AG17" s="56"/>
      <c r="AH17" s="56"/>
      <c r="AI17" s="83" t="e">
        <f>ROUND(AF17*(HLOOKUP(AF$7,$D$9:$G17,ROW()-8,0)+AI$8),0)+ROUND(AH17*AI$8,0)</f>
        <v>#N/A</v>
      </c>
      <c r="AJ17" s="53"/>
      <c r="AK17" s="56"/>
      <c r="AL17" s="56"/>
      <c r="AM17" s="83" t="e">
        <f>ROUND(AJ17*(HLOOKUP(AJ$7,$D$9:$G17,ROW()-8,0)+AM$8),0)+ROUND(AL17*AM$8,0)</f>
        <v>#N/A</v>
      </c>
      <c r="AN17" s="53"/>
      <c r="AO17" s="56"/>
      <c r="AP17" s="56"/>
      <c r="AQ17" s="83" t="e">
        <f>ROUND(AN17*(HLOOKUP(AN$7,$D$9:$G17,ROW()-8,0)+AQ$8),0)+ROUND(AP17*AQ$8,0)</f>
        <v>#N/A</v>
      </c>
      <c r="AR17" s="53"/>
      <c r="AS17" s="56"/>
      <c r="AT17" s="56"/>
      <c r="AU17" s="83" t="e">
        <f>ROUND(AR17*(HLOOKUP(AR$7,$D$9:$G17,ROW()-8,0)+AU$8),0)+ROUND(AT17*AU$8,0)</f>
        <v>#N/A</v>
      </c>
      <c r="AV17" s="53"/>
      <c r="AW17" s="56"/>
      <c r="AX17" s="56"/>
      <c r="AY17" s="83" t="e">
        <f>ROUND(AV17*(HLOOKUP(AV$7,$D$9:$G17,ROW()-8,0)+AY$8),0)+ROUND(AX17*AY$8,0)</f>
        <v>#N/A</v>
      </c>
      <c r="AZ17" s="53"/>
      <c r="BA17" s="56"/>
      <c r="BB17" s="56"/>
      <c r="BC17" s="83" t="e">
        <f>ROUND(AZ17*(HLOOKUP(AZ$7,$D$9:$G17,ROW()-8,0)+BC$8),0)+ROUND(BB17*BC$8,0)</f>
        <v>#N/A</v>
      </c>
      <c r="BD17" s="53"/>
      <c r="BE17" s="56"/>
      <c r="BF17" s="56"/>
      <c r="BG17" s="83" t="e">
        <f>ROUND(BD17*(HLOOKUP(BD$7,$D$9:$G17,ROW()-8,0)+BG$8),0)+ROUND(BF17*BG$8,0)</f>
        <v>#N/A</v>
      </c>
      <c r="BH17" s="53"/>
      <c r="BI17" s="56"/>
      <c r="BJ17" s="56"/>
      <c r="BK17" s="83" t="e">
        <f>ROUND(BH17*(HLOOKUP(BH$7,$D$9:$G17,ROW()-8,0)+BK$8),0)+ROUND(BJ17*BK$8,0)</f>
        <v>#N/A</v>
      </c>
      <c r="BL17" s="53"/>
      <c r="BM17" s="56"/>
      <c r="BN17" s="56"/>
      <c r="BO17" s="83" t="e">
        <f>ROUND(BL17*(HLOOKUP(BL$7,$D$9:$G17,ROW()-8,0)+BO$8),0)+ROUND(BN17*BO$8,0)</f>
        <v>#N/A</v>
      </c>
      <c r="BP17" s="53"/>
      <c r="BQ17" s="56"/>
      <c r="BR17" s="56"/>
      <c r="BS17" s="83" t="e">
        <f>ROUND(BP17*(HLOOKUP(BP$7,$D$9:$G17,ROW()-8,0)+BS$8),0)+ROUND(BR17*BS$8,0)</f>
        <v>#N/A</v>
      </c>
      <c r="BT17" s="54">
        <f t="shared" si="2"/>
        <v>0</v>
      </c>
      <c r="BU17" s="54">
        <f t="shared" si="0"/>
        <v>0</v>
      </c>
      <c r="BV17" s="54">
        <f t="shared" si="0"/>
        <v>0</v>
      </c>
      <c r="BW17" s="54">
        <f t="shared" si="0"/>
        <v>0</v>
      </c>
      <c r="BX17" s="63"/>
      <c r="BY17" s="107"/>
      <c r="BZ17" s="57" t="e">
        <f t="shared" si="1"/>
        <v>#DIV/0!</v>
      </c>
    </row>
    <row r="18" spans="3:78" ht="17.25">
      <c r="C18" s="64"/>
      <c r="D18" s="105"/>
      <c r="E18" s="106"/>
      <c r="F18" s="106"/>
      <c r="G18" s="110"/>
      <c r="H18" s="95"/>
      <c r="I18" s="56"/>
      <c r="J18" s="56"/>
      <c r="K18" s="83" t="e">
        <f>ROUND(H18*(HLOOKUP(H$7,$D$9:$G18,ROW()-8,0)+K$8),0)+ROUND(J18*K$8,0)</f>
        <v>#N/A</v>
      </c>
      <c r="L18" s="53"/>
      <c r="M18" s="56"/>
      <c r="N18" s="56"/>
      <c r="O18" s="83" t="e">
        <f>ROUND(L18*(HLOOKUP(L$7,$D$9:$G18,ROW()-8,0)+O$8),0)+ROUND(N18*O$8,0)</f>
        <v>#N/A</v>
      </c>
      <c r="P18" s="53"/>
      <c r="Q18" s="56"/>
      <c r="R18" s="56"/>
      <c r="S18" s="83" t="e">
        <f>ROUND(P18*(HLOOKUP(P$7,$D$9:$G18,ROW()-8,0)+S$8),0)+ROUND(R18*S$8,0)</f>
        <v>#N/A</v>
      </c>
      <c r="T18" s="53"/>
      <c r="U18" s="56"/>
      <c r="V18" s="56"/>
      <c r="W18" s="83" t="e">
        <f>ROUND(T18*(HLOOKUP(T$7,$D$9:$G18,ROW()-8,0)+W$8),0)+ROUND(V18*W$8,0)</f>
        <v>#N/A</v>
      </c>
      <c r="X18" s="53"/>
      <c r="Y18" s="56"/>
      <c r="Z18" s="56"/>
      <c r="AA18" s="83" t="e">
        <f>ROUND(X18*(HLOOKUP(X$7,$D$9:$G18,ROW()-8,0)+AA$8),0)+ROUND(Z18*AA$8,0)</f>
        <v>#N/A</v>
      </c>
      <c r="AB18" s="53"/>
      <c r="AC18" s="56"/>
      <c r="AD18" s="56"/>
      <c r="AE18" s="83" t="e">
        <f>ROUND(AB18*(HLOOKUP(AB$7,$D$9:$G18,ROW()-8,0)+AE$8),0)+ROUND(AD18*AE$8,0)</f>
        <v>#N/A</v>
      </c>
      <c r="AF18" s="53"/>
      <c r="AG18" s="56"/>
      <c r="AH18" s="56"/>
      <c r="AI18" s="83" t="e">
        <f>ROUND(AF18*(HLOOKUP(AF$7,$D$9:$G18,ROW()-8,0)+AI$8),0)+ROUND(AH18*AI$8,0)</f>
        <v>#N/A</v>
      </c>
      <c r="AJ18" s="53"/>
      <c r="AK18" s="56"/>
      <c r="AL18" s="56"/>
      <c r="AM18" s="83" t="e">
        <f>ROUND(AJ18*(HLOOKUP(AJ$7,$D$9:$G18,ROW()-8,0)+AM$8),0)+ROUND(AL18*AM$8,0)</f>
        <v>#N/A</v>
      </c>
      <c r="AN18" s="53"/>
      <c r="AO18" s="56"/>
      <c r="AP18" s="56"/>
      <c r="AQ18" s="83" t="e">
        <f>ROUND(AN18*(HLOOKUP(AN$7,$D$9:$G18,ROW()-8,0)+AQ$8),0)+ROUND(AP18*AQ$8,0)</f>
        <v>#N/A</v>
      </c>
      <c r="AR18" s="53"/>
      <c r="AS18" s="56"/>
      <c r="AT18" s="56"/>
      <c r="AU18" s="83" t="e">
        <f>ROUND(AR18*(HLOOKUP(AR$7,$D$9:$G18,ROW()-8,0)+AU$8),0)+ROUND(AT18*AU$8,0)</f>
        <v>#N/A</v>
      </c>
      <c r="AV18" s="53"/>
      <c r="AW18" s="56"/>
      <c r="AX18" s="56"/>
      <c r="AY18" s="83" t="e">
        <f>ROUND(AV18*(HLOOKUP(AV$7,$D$9:$G18,ROW()-8,0)+AY$8),0)+ROUND(AX18*AY$8,0)</f>
        <v>#N/A</v>
      </c>
      <c r="AZ18" s="53"/>
      <c r="BA18" s="56"/>
      <c r="BB18" s="56"/>
      <c r="BC18" s="83" t="e">
        <f>ROUND(AZ18*(HLOOKUP(AZ$7,$D$9:$G18,ROW()-8,0)+BC$8),0)+ROUND(BB18*BC$8,0)</f>
        <v>#N/A</v>
      </c>
      <c r="BD18" s="53"/>
      <c r="BE18" s="56"/>
      <c r="BF18" s="56"/>
      <c r="BG18" s="83" t="e">
        <f>ROUND(BD18*(HLOOKUP(BD$7,$D$9:$G18,ROW()-8,0)+BG$8),0)+ROUND(BF18*BG$8,0)</f>
        <v>#N/A</v>
      </c>
      <c r="BH18" s="53"/>
      <c r="BI18" s="56"/>
      <c r="BJ18" s="56"/>
      <c r="BK18" s="83" t="e">
        <f>ROUND(BH18*(HLOOKUP(BH$7,$D$9:$G18,ROW()-8,0)+BK$8),0)+ROUND(BJ18*BK$8,0)</f>
        <v>#N/A</v>
      </c>
      <c r="BL18" s="53"/>
      <c r="BM18" s="56"/>
      <c r="BN18" s="56"/>
      <c r="BO18" s="83" t="e">
        <f>ROUND(BL18*(HLOOKUP(BL$7,$D$9:$G18,ROW()-8,0)+BO$8),0)+ROUND(BN18*BO$8,0)</f>
        <v>#N/A</v>
      </c>
      <c r="BP18" s="53"/>
      <c r="BQ18" s="56"/>
      <c r="BR18" s="56"/>
      <c r="BS18" s="83" t="e">
        <f>ROUND(BP18*(HLOOKUP(BP$7,$D$9:$G18,ROW()-8,0)+BS$8),0)+ROUND(BR18*BS$8,0)</f>
        <v>#N/A</v>
      </c>
      <c r="BT18" s="54">
        <f t="shared" si="2"/>
        <v>0</v>
      </c>
      <c r="BU18" s="54">
        <f t="shared" si="0"/>
        <v>0</v>
      </c>
      <c r="BV18" s="54">
        <f t="shared" si="0"/>
        <v>0</v>
      </c>
      <c r="BW18" s="54">
        <f t="shared" si="0"/>
        <v>0</v>
      </c>
      <c r="BX18" s="63"/>
      <c r="BY18" s="107"/>
      <c r="BZ18" s="57" t="e">
        <f t="shared" si="1"/>
        <v>#DIV/0!</v>
      </c>
    </row>
    <row r="19" spans="3:78" ht="17.25">
      <c r="C19" s="64"/>
      <c r="D19" s="105"/>
      <c r="E19" s="106"/>
      <c r="F19" s="106"/>
      <c r="G19" s="110"/>
      <c r="H19" s="95"/>
      <c r="I19" s="56"/>
      <c r="J19" s="56"/>
      <c r="K19" s="83" t="e">
        <f>ROUND(H19*(HLOOKUP(H$7,$D$9:$G19,ROW()-8,0)+K$8),0)+ROUND(J19*K$8,0)</f>
        <v>#N/A</v>
      </c>
      <c r="L19" s="53"/>
      <c r="M19" s="56"/>
      <c r="N19" s="56"/>
      <c r="O19" s="83" t="e">
        <f>ROUND(L19*(HLOOKUP(L$7,$D$9:$G19,ROW()-8,0)+O$8),0)+ROUND(N19*O$8,0)</f>
        <v>#N/A</v>
      </c>
      <c r="P19" s="53"/>
      <c r="Q19" s="56"/>
      <c r="R19" s="56"/>
      <c r="S19" s="83" t="e">
        <f>ROUND(P19*(HLOOKUP(P$7,$D$9:$G19,ROW()-8,0)+S$8),0)+ROUND(R19*S$8,0)</f>
        <v>#N/A</v>
      </c>
      <c r="T19" s="53"/>
      <c r="U19" s="56"/>
      <c r="V19" s="56"/>
      <c r="W19" s="83" t="e">
        <f>ROUND(T19*(HLOOKUP(T$7,$D$9:$G19,ROW()-8,0)+W$8),0)+ROUND(V19*W$8,0)</f>
        <v>#N/A</v>
      </c>
      <c r="X19" s="53"/>
      <c r="Y19" s="56"/>
      <c r="Z19" s="56"/>
      <c r="AA19" s="83" t="e">
        <f>ROUND(X19*(HLOOKUP(X$7,$D$9:$G19,ROW()-8,0)+AA$8),0)+ROUND(Z19*AA$8,0)</f>
        <v>#N/A</v>
      </c>
      <c r="AB19" s="53"/>
      <c r="AC19" s="56"/>
      <c r="AD19" s="56"/>
      <c r="AE19" s="83" t="e">
        <f>ROUND(AB19*(HLOOKUP(AB$7,$D$9:$G19,ROW()-8,0)+AE$8),0)+ROUND(AD19*AE$8,0)</f>
        <v>#N/A</v>
      </c>
      <c r="AF19" s="53"/>
      <c r="AG19" s="56"/>
      <c r="AH19" s="56"/>
      <c r="AI19" s="83" t="e">
        <f>ROUND(AF19*(HLOOKUP(AF$7,$D$9:$G19,ROW()-8,0)+AI$8),0)+ROUND(AH19*AI$8,0)</f>
        <v>#N/A</v>
      </c>
      <c r="AJ19" s="53"/>
      <c r="AK19" s="56"/>
      <c r="AL19" s="56"/>
      <c r="AM19" s="83" t="e">
        <f>ROUND(AJ19*(HLOOKUP(AJ$7,$D$9:$G19,ROW()-8,0)+AM$8),0)+ROUND(AL19*AM$8,0)</f>
        <v>#N/A</v>
      </c>
      <c r="AN19" s="53"/>
      <c r="AO19" s="56"/>
      <c r="AP19" s="56"/>
      <c r="AQ19" s="83" t="e">
        <f>ROUND(AN19*(HLOOKUP(AN$7,$D$9:$G19,ROW()-8,0)+AQ$8),0)+ROUND(AP19*AQ$8,0)</f>
        <v>#N/A</v>
      </c>
      <c r="AR19" s="53"/>
      <c r="AS19" s="56"/>
      <c r="AT19" s="56"/>
      <c r="AU19" s="83" t="e">
        <f>ROUND(AR19*(HLOOKUP(AR$7,$D$9:$G19,ROW()-8,0)+AU$8),0)+ROUND(AT19*AU$8,0)</f>
        <v>#N/A</v>
      </c>
      <c r="AV19" s="53"/>
      <c r="AW19" s="56"/>
      <c r="AX19" s="56"/>
      <c r="AY19" s="83" t="e">
        <f>ROUND(AV19*(HLOOKUP(AV$7,$D$9:$G19,ROW()-8,0)+AY$8),0)+ROUND(AX19*AY$8,0)</f>
        <v>#N/A</v>
      </c>
      <c r="AZ19" s="53"/>
      <c r="BA19" s="56"/>
      <c r="BB19" s="56"/>
      <c r="BC19" s="83" t="e">
        <f>ROUND(AZ19*(HLOOKUP(AZ$7,$D$9:$G19,ROW()-8,0)+BC$8),0)+ROUND(BB19*BC$8,0)</f>
        <v>#N/A</v>
      </c>
      <c r="BD19" s="53"/>
      <c r="BE19" s="56"/>
      <c r="BF19" s="56"/>
      <c r="BG19" s="83" t="e">
        <f>ROUND(BD19*(HLOOKUP(BD$7,$D$9:$G19,ROW()-8,0)+BG$8),0)+ROUND(BF19*BG$8,0)</f>
        <v>#N/A</v>
      </c>
      <c r="BH19" s="53"/>
      <c r="BI19" s="56"/>
      <c r="BJ19" s="56"/>
      <c r="BK19" s="83" t="e">
        <f>ROUND(BH19*(HLOOKUP(BH$7,$D$9:$G19,ROW()-8,0)+BK$8),0)+ROUND(BJ19*BK$8,0)</f>
        <v>#N/A</v>
      </c>
      <c r="BL19" s="53"/>
      <c r="BM19" s="56"/>
      <c r="BN19" s="56"/>
      <c r="BO19" s="83" t="e">
        <f>ROUND(BL19*(HLOOKUP(BL$7,$D$9:$G19,ROW()-8,0)+BO$8),0)+ROUND(BN19*BO$8,0)</f>
        <v>#N/A</v>
      </c>
      <c r="BP19" s="53"/>
      <c r="BQ19" s="56"/>
      <c r="BR19" s="56"/>
      <c r="BS19" s="83" t="e">
        <f>ROUND(BP19*(HLOOKUP(BP$7,$D$9:$G19,ROW()-8,0)+BS$8),0)+ROUND(BR19*BS$8,0)</f>
        <v>#N/A</v>
      </c>
      <c r="BT19" s="54">
        <f t="shared" si="2"/>
        <v>0</v>
      </c>
      <c r="BU19" s="54">
        <f t="shared" si="0"/>
        <v>0</v>
      </c>
      <c r="BV19" s="54">
        <f t="shared" si="0"/>
        <v>0</v>
      </c>
      <c r="BW19" s="54">
        <f t="shared" si="0"/>
        <v>0</v>
      </c>
      <c r="BX19" s="63"/>
      <c r="BY19" s="107"/>
      <c r="BZ19" s="57" t="e">
        <f t="shared" si="1"/>
        <v>#DIV/0!</v>
      </c>
    </row>
    <row r="20" spans="3:78" ht="17.25">
      <c r="C20" s="64"/>
      <c r="D20" s="105"/>
      <c r="E20" s="106"/>
      <c r="F20" s="106"/>
      <c r="G20" s="110"/>
      <c r="H20" s="95"/>
      <c r="I20" s="56"/>
      <c r="J20" s="56"/>
      <c r="K20" s="83" t="e">
        <f>ROUND(H20*(HLOOKUP(H$7,$D$9:$G20,ROW()-8,0)+K$8),0)+ROUND(J20*K$8,0)</f>
        <v>#N/A</v>
      </c>
      <c r="L20" s="53"/>
      <c r="M20" s="56"/>
      <c r="N20" s="56"/>
      <c r="O20" s="83" t="e">
        <f>ROUND(L20*(HLOOKUP(L$7,$D$9:$G20,ROW()-8,0)+O$8),0)+ROUND(N20*O$8,0)</f>
        <v>#N/A</v>
      </c>
      <c r="P20" s="53"/>
      <c r="Q20" s="56"/>
      <c r="R20" s="56"/>
      <c r="S20" s="83" t="e">
        <f>ROUND(P20*(HLOOKUP(P$7,$D$9:$G20,ROW()-8,0)+S$8),0)+ROUND(R20*S$8,0)</f>
        <v>#N/A</v>
      </c>
      <c r="T20" s="53"/>
      <c r="U20" s="56"/>
      <c r="V20" s="56"/>
      <c r="W20" s="83" t="e">
        <f>ROUND(T20*(HLOOKUP(T$7,$D$9:$G20,ROW()-8,0)+W$8),0)+ROUND(V20*W$8,0)</f>
        <v>#N/A</v>
      </c>
      <c r="X20" s="53"/>
      <c r="Y20" s="56"/>
      <c r="Z20" s="56"/>
      <c r="AA20" s="83" t="e">
        <f>ROUND(X20*(HLOOKUP(X$7,$D$9:$G20,ROW()-8,0)+AA$8),0)+ROUND(Z20*AA$8,0)</f>
        <v>#N/A</v>
      </c>
      <c r="AB20" s="53"/>
      <c r="AC20" s="56"/>
      <c r="AD20" s="56"/>
      <c r="AE20" s="83" t="e">
        <f>ROUND(AB20*(HLOOKUP(AB$7,$D$9:$G20,ROW()-8,0)+AE$8),0)+ROUND(AD20*AE$8,0)</f>
        <v>#N/A</v>
      </c>
      <c r="AF20" s="53"/>
      <c r="AG20" s="56"/>
      <c r="AH20" s="56"/>
      <c r="AI20" s="83" t="e">
        <f>ROUND(AF20*(HLOOKUP(AF$7,$D$9:$G20,ROW()-8,0)+AI$8),0)+ROUND(AH20*AI$8,0)</f>
        <v>#N/A</v>
      </c>
      <c r="AJ20" s="53"/>
      <c r="AK20" s="56"/>
      <c r="AL20" s="56"/>
      <c r="AM20" s="83" t="e">
        <f>ROUND(AJ20*(HLOOKUP(AJ$7,$D$9:$G20,ROW()-8,0)+AM$8),0)+ROUND(AL20*AM$8,0)</f>
        <v>#N/A</v>
      </c>
      <c r="AN20" s="53"/>
      <c r="AO20" s="56"/>
      <c r="AP20" s="56"/>
      <c r="AQ20" s="83" t="e">
        <f>ROUND(AN20*(HLOOKUP(AN$7,$D$9:$G20,ROW()-8,0)+AQ$8),0)+ROUND(AP20*AQ$8,0)</f>
        <v>#N/A</v>
      </c>
      <c r="AR20" s="53"/>
      <c r="AS20" s="56"/>
      <c r="AT20" s="56"/>
      <c r="AU20" s="83" t="e">
        <f>ROUND(AR20*(HLOOKUP(AR$7,$D$9:$G20,ROW()-8,0)+AU$8),0)+ROUND(AT20*AU$8,0)</f>
        <v>#N/A</v>
      </c>
      <c r="AV20" s="53"/>
      <c r="AW20" s="56"/>
      <c r="AX20" s="56"/>
      <c r="AY20" s="83" t="e">
        <f>ROUND(AV20*(HLOOKUP(AV$7,$D$9:$G20,ROW()-8,0)+AY$8),0)+ROUND(AX20*AY$8,0)</f>
        <v>#N/A</v>
      </c>
      <c r="AZ20" s="53"/>
      <c r="BA20" s="56"/>
      <c r="BB20" s="56"/>
      <c r="BC20" s="83" t="e">
        <f>ROUND(AZ20*(HLOOKUP(AZ$7,$D$9:$G20,ROW()-8,0)+BC$8),0)+ROUND(BB20*BC$8,0)</f>
        <v>#N/A</v>
      </c>
      <c r="BD20" s="53"/>
      <c r="BE20" s="56"/>
      <c r="BF20" s="56"/>
      <c r="BG20" s="83" t="e">
        <f>ROUND(BD20*(HLOOKUP(BD$7,$D$9:$G20,ROW()-8,0)+BG$8),0)+ROUND(BF20*BG$8,0)</f>
        <v>#N/A</v>
      </c>
      <c r="BH20" s="53"/>
      <c r="BI20" s="56"/>
      <c r="BJ20" s="56"/>
      <c r="BK20" s="83" t="e">
        <f>ROUND(BH20*(HLOOKUP(BH$7,$D$9:$G20,ROW()-8,0)+BK$8),0)+ROUND(BJ20*BK$8,0)</f>
        <v>#N/A</v>
      </c>
      <c r="BL20" s="53"/>
      <c r="BM20" s="56"/>
      <c r="BN20" s="56"/>
      <c r="BO20" s="83" t="e">
        <f>ROUND(BL20*(HLOOKUP(BL$7,$D$9:$G20,ROW()-8,0)+BO$8),0)+ROUND(BN20*BO$8,0)</f>
        <v>#N/A</v>
      </c>
      <c r="BP20" s="53"/>
      <c r="BQ20" s="56"/>
      <c r="BR20" s="56"/>
      <c r="BS20" s="83" t="e">
        <f>ROUND(BP20*(HLOOKUP(BP$7,$D$9:$G20,ROW()-8,0)+BS$8),0)+ROUND(BR20*BS$8,0)</f>
        <v>#N/A</v>
      </c>
      <c r="BT20" s="54">
        <f t="shared" si="2"/>
        <v>0</v>
      </c>
      <c r="BU20" s="54">
        <f t="shared" si="0"/>
        <v>0</v>
      </c>
      <c r="BV20" s="54">
        <f t="shared" si="0"/>
        <v>0</v>
      </c>
      <c r="BW20" s="54">
        <f t="shared" si="0"/>
        <v>0</v>
      </c>
      <c r="BX20" s="63"/>
      <c r="BY20" s="107"/>
      <c r="BZ20" s="57" t="e">
        <f t="shared" si="1"/>
        <v>#DIV/0!</v>
      </c>
    </row>
    <row r="21" spans="3:78" ht="17.25">
      <c r="C21" s="64"/>
      <c r="D21" s="105"/>
      <c r="E21" s="106"/>
      <c r="F21" s="106"/>
      <c r="G21" s="110"/>
      <c r="H21" s="95"/>
      <c r="I21" s="56"/>
      <c r="J21" s="56"/>
      <c r="K21" s="83" t="e">
        <f>ROUND(H21*(HLOOKUP(H$7,$D$9:$G21,ROW()-8,0)+K$8),0)+ROUND(J21*K$8,0)</f>
        <v>#N/A</v>
      </c>
      <c r="L21" s="53"/>
      <c r="M21" s="56"/>
      <c r="N21" s="56"/>
      <c r="O21" s="83" t="e">
        <f>ROUND(L21*(HLOOKUP(L$7,$D$9:$G21,ROW()-8,0)+O$8),0)+ROUND(N21*O$8,0)</f>
        <v>#N/A</v>
      </c>
      <c r="P21" s="53"/>
      <c r="Q21" s="56"/>
      <c r="R21" s="56"/>
      <c r="S21" s="83" t="e">
        <f>ROUND(P21*(HLOOKUP(P$7,$D$9:$G21,ROW()-8,0)+S$8),0)+ROUND(R21*S$8,0)</f>
        <v>#N/A</v>
      </c>
      <c r="T21" s="53"/>
      <c r="U21" s="56"/>
      <c r="V21" s="56"/>
      <c r="W21" s="83" t="e">
        <f>ROUND(T21*(HLOOKUP(T$7,$D$9:$G21,ROW()-8,0)+W$8),0)+ROUND(V21*W$8,0)</f>
        <v>#N/A</v>
      </c>
      <c r="X21" s="53"/>
      <c r="Y21" s="56"/>
      <c r="Z21" s="56"/>
      <c r="AA21" s="83" t="e">
        <f>ROUND(X21*(HLOOKUP(X$7,$D$9:$G21,ROW()-8,0)+AA$8),0)+ROUND(Z21*AA$8,0)</f>
        <v>#N/A</v>
      </c>
      <c r="AB21" s="53"/>
      <c r="AC21" s="56"/>
      <c r="AD21" s="56"/>
      <c r="AE21" s="83" t="e">
        <f>ROUND(AB21*(HLOOKUP(AB$7,$D$9:$G21,ROW()-8,0)+AE$8),0)+ROUND(AD21*AE$8,0)</f>
        <v>#N/A</v>
      </c>
      <c r="AF21" s="53"/>
      <c r="AG21" s="56"/>
      <c r="AH21" s="56"/>
      <c r="AI21" s="83" t="e">
        <f>ROUND(AF21*(HLOOKUP(AF$7,$D$9:$G21,ROW()-8,0)+AI$8),0)+ROUND(AH21*AI$8,0)</f>
        <v>#N/A</v>
      </c>
      <c r="AJ21" s="53"/>
      <c r="AK21" s="56"/>
      <c r="AL21" s="56"/>
      <c r="AM21" s="83" t="e">
        <f>ROUND(AJ21*(HLOOKUP(AJ$7,$D$9:$G21,ROW()-8,0)+AM$8),0)+ROUND(AL21*AM$8,0)</f>
        <v>#N/A</v>
      </c>
      <c r="AN21" s="53"/>
      <c r="AO21" s="56"/>
      <c r="AP21" s="56"/>
      <c r="AQ21" s="83" t="e">
        <f>ROUND(AN21*(HLOOKUP(AN$7,$D$9:$G21,ROW()-8,0)+AQ$8),0)+ROUND(AP21*AQ$8,0)</f>
        <v>#N/A</v>
      </c>
      <c r="AR21" s="53"/>
      <c r="AS21" s="56"/>
      <c r="AT21" s="56"/>
      <c r="AU21" s="83" t="e">
        <f>ROUND(AR21*(HLOOKUP(AR$7,$D$9:$G21,ROW()-8,0)+AU$8),0)+ROUND(AT21*AU$8,0)</f>
        <v>#N/A</v>
      </c>
      <c r="AV21" s="53"/>
      <c r="AW21" s="56"/>
      <c r="AX21" s="56"/>
      <c r="AY21" s="83" t="e">
        <f>ROUND(AV21*(HLOOKUP(AV$7,$D$9:$G21,ROW()-8,0)+AY$8),0)+ROUND(AX21*AY$8,0)</f>
        <v>#N/A</v>
      </c>
      <c r="AZ21" s="53"/>
      <c r="BA21" s="56"/>
      <c r="BB21" s="56"/>
      <c r="BC21" s="83" t="e">
        <f>ROUND(AZ21*(HLOOKUP(AZ$7,$D$9:$G21,ROW()-8,0)+BC$8),0)+ROUND(BB21*BC$8,0)</f>
        <v>#N/A</v>
      </c>
      <c r="BD21" s="53"/>
      <c r="BE21" s="56"/>
      <c r="BF21" s="56"/>
      <c r="BG21" s="83" t="e">
        <f>ROUND(BD21*(HLOOKUP(BD$7,$D$9:$G21,ROW()-8,0)+BG$8),0)+ROUND(BF21*BG$8,0)</f>
        <v>#N/A</v>
      </c>
      <c r="BH21" s="53"/>
      <c r="BI21" s="56"/>
      <c r="BJ21" s="56"/>
      <c r="BK21" s="83" t="e">
        <f>ROUND(BH21*(HLOOKUP(BH$7,$D$9:$G21,ROW()-8,0)+BK$8),0)+ROUND(BJ21*BK$8,0)</f>
        <v>#N/A</v>
      </c>
      <c r="BL21" s="53"/>
      <c r="BM21" s="56"/>
      <c r="BN21" s="56"/>
      <c r="BO21" s="83" t="e">
        <f>ROUND(BL21*(HLOOKUP(BL$7,$D$9:$G21,ROW()-8,0)+BO$8),0)+ROUND(BN21*BO$8,0)</f>
        <v>#N/A</v>
      </c>
      <c r="BP21" s="53"/>
      <c r="BQ21" s="56"/>
      <c r="BR21" s="56"/>
      <c r="BS21" s="83" t="e">
        <f>ROUND(BP21*(HLOOKUP(BP$7,$D$9:$G21,ROW()-8,0)+BS$8),0)+ROUND(BR21*BS$8,0)</f>
        <v>#N/A</v>
      </c>
      <c r="BT21" s="54">
        <f t="shared" si="2"/>
        <v>0</v>
      </c>
      <c r="BU21" s="54">
        <f t="shared" si="0"/>
        <v>0</v>
      </c>
      <c r="BV21" s="54">
        <f t="shared" si="0"/>
        <v>0</v>
      </c>
      <c r="BW21" s="54">
        <f t="shared" si="0"/>
        <v>0</v>
      </c>
      <c r="BX21" s="63"/>
      <c r="BY21" s="107"/>
      <c r="BZ21" s="57" t="e">
        <f t="shared" si="1"/>
        <v>#DIV/0!</v>
      </c>
    </row>
    <row r="22" spans="3:78" ht="17.25">
      <c r="C22" s="64"/>
      <c r="D22" s="105"/>
      <c r="E22" s="106"/>
      <c r="F22" s="106"/>
      <c r="G22" s="110"/>
      <c r="H22" s="95"/>
      <c r="I22" s="56"/>
      <c r="J22" s="56"/>
      <c r="K22" s="83" t="e">
        <f>ROUND(H22*(HLOOKUP(H$7,$D$9:$G22,ROW()-8,0)+K$8),0)+ROUND(J22*K$8,0)</f>
        <v>#N/A</v>
      </c>
      <c r="L22" s="53"/>
      <c r="M22" s="56"/>
      <c r="N22" s="56"/>
      <c r="O22" s="83" t="e">
        <f>ROUND(L22*(HLOOKUP(L$7,$D$9:$G22,ROW()-8,0)+O$8),0)+ROUND(N22*O$8,0)</f>
        <v>#N/A</v>
      </c>
      <c r="P22" s="53"/>
      <c r="Q22" s="56"/>
      <c r="R22" s="56"/>
      <c r="S22" s="83" t="e">
        <f>ROUND(P22*(HLOOKUP(P$7,$D$9:$G22,ROW()-8,0)+S$8),0)+ROUND(R22*S$8,0)</f>
        <v>#N/A</v>
      </c>
      <c r="T22" s="53"/>
      <c r="U22" s="56"/>
      <c r="V22" s="56"/>
      <c r="W22" s="83" t="e">
        <f>ROUND(T22*(HLOOKUP(T$7,$D$9:$G22,ROW()-8,0)+W$8),0)+ROUND(V22*W$8,0)</f>
        <v>#N/A</v>
      </c>
      <c r="X22" s="53"/>
      <c r="Y22" s="56"/>
      <c r="Z22" s="56"/>
      <c r="AA22" s="83" t="e">
        <f>ROUND(X22*(HLOOKUP(X$7,$D$9:$G22,ROW()-8,0)+AA$8),0)+ROUND(Z22*AA$8,0)</f>
        <v>#N/A</v>
      </c>
      <c r="AB22" s="53"/>
      <c r="AC22" s="56"/>
      <c r="AD22" s="56"/>
      <c r="AE22" s="83" t="e">
        <f>ROUND(AB22*(HLOOKUP(AB$7,$D$9:$G22,ROW()-8,0)+AE$8),0)+ROUND(AD22*AE$8,0)</f>
        <v>#N/A</v>
      </c>
      <c r="AF22" s="53"/>
      <c r="AG22" s="56"/>
      <c r="AH22" s="56"/>
      <c r="AI22" s="83" t="e">
        <f>ROUND(AF22*(HLOOKUP(AF$7,$D$9:$G22,ROW()-8,0)+AI$8),0)+ROUND(AH22*AI$8,0)</f>
        <v>#N/A</v>
      </c>
      <c r="AJ22" s="53"/>
      <c r="AK22" s="56"/>
      <c r="AL22" s="56"/>
      <c r="AM22" s="83" t="e">
        <f>ROUND(AJ22*(HLOOKUP(AJ$7,$D$9:$G22,ROW()-8,0)+AM$8),0)+ROUND(AL22*AM$8,0)</f>
        <v>#N/A</v>
      </c>
      <c r="AN22" s="53"/>
      <c r="AO22" s="56"/>
      <c r="AP22" s="56"/>
      <c r="AQ22" s="83" t="e">
        <f>ROUND(AN22*(HLOOKUP(AN$7,$D$9:$G22,ROW()-8,0)+AQ$8),0)+ROUND(AP22*AQ$8,0)</f>
        <v>#N/A</v>
      </c>
      <c r="AR22" s="53"/>
      <c r="AS22" s="56"/>
      <c r="AT22" s="56"/>
      <c r="AU22" s="83" t="e">
        <f>ROUND(AR22*(HLOOKUP(AR$7,$D$9:$G22,ROW()-8,0)+AU$8),0)+ROUND(AT22*AU$8,0)</f>
        <v>#N/A</v>
      </c>
      <c r="AV22" s="53"/>
      <c r="AW22" s="56"/>
      <c r="AX22" s="56"/>
      <c r="AY22" s="83" t="e">
        <f>ROUND(AV22*(HLOOKUP(AV$7,$D$9:$G22,ROW()-8,0)+AY$8),0)+ROUND(AX22*AY$8,0)</f>
        <v>#N/A</v>
      </c>
      <c r="AZ22" s="53"/>
      <c r="BA22" s="56"/>
      <c r="BB22" s="56"/>
      <c r="BC22" s="83" t="e">
        <f>ROUND(AZ22*(HLOOKUP(AZ$7,$D$9:$G22,ROW()-8,0)+BC$8),0)+ROUND(BB22*BC$8,0)</f>
        <v>#N/A</v>
      </c>
      <c r="BD22" s="53"/>
      <c r="BE22" s="56"/>
      <c r="BF22" s="56"/>
      <c r="BG22" s="83" t="e">
        <f>ROUND(BD22*(HLOOKUP(BD$7,$D$9:$G22,ROW()-8,0)+BG$8),0)+ROUND(BF22*BG$8,0)</f>
        <v>#N/A</v>
      </c>
      <c r="BH22" s="53"/>
      <c r="BI22" s="56"/>
      <c r="BJ22" s="56"/>
      <c r="BK22" s="83" t="e">
        <f>ROUND(BH22*(HLOOKUP(BH$7,$D$9:$G22,ROW()-8,0)+BK$8),0)+ROUND(BJ22*BK$8,0)</f>
        <v>#N/A</v>
      </c>
      <c r="BL22" s="53"/>
      <c r="BM22" s="56"/>
      <c r="BN22" s="56"/>
      <c r="BO22" s="83" t="e">
        <f>ROUND(BL22*(HLOOKUP(BL$7,$D$9:$G22,ROW()-8,0)+BO$8),0)+ROUND(BN22*BO$8,0)</f>
        <v>#N/A</v>
      </c>
      <c r="BP22" s="53"/>
      <c r="BQ22" s="56"/>
      <c r="BR22" s="56"/>
      <c r="BS22" s="83" t="e">
        <f>ROUND(BP22*(HLOOKUP(BP$7,$D$9:$G22,ROW()-8,0)+BS$8),0)+ROUND(BR22*BS$8,0)</f>
        <v>#N/A</v>
      </c>
      <c r="BT22" s="54">
        <f t="shared" si="2"/>
        <v>0</v>
      </c>
      <c r="BU22" s="54">
        <f t="shared" si="0"/>
        <v>0</v>
      </c>
      <c r="BV22" s="54">
        <f t="shared" si="0"/>
        <v>0</v>
      </c>
      <c r="BW22" s="54">
        <f t="shared" si="0"/>
        <v>0</v>
      </c>
      <c r="BX22" s="63"/>
      <c r="BY22" s="107"/>
      <c r="BZ22" s="57" t="e">
        <f t="shared" si="1"/>
        <v>#DIV/0!</v>
      </c>
    </row>
    <row r="23" spans="3:78" ht="17.25">
      <c r="C23" s="64"/>
      <c r="D23" s="105"/>
      <c r="E23" s="106"/>
      <c r="F23" s="106"/>
      <c r="G23" s="110"/>
      <c r="H23" s="95"/>
      <c r="I23" s="56"/>
      <c r="J23" s="56"/>
      <c r="K23" s="83" t="e">
        <f>ROUND(H23*(HLOOKUP(H$7,$D$9:$G23,ROW()-8,0)+K$8),0)+ROUND(J23*K$8,0)</f>
        <v>#N/A</v>
      </c>
      <c r="L23" s="53"/>
      <c r="M23" s="56"/>
      <c r="N23" s="56"/>
      <c r="O23" s="83" t="e">
        <f>ROUND(L23*(HLOOKUP(L$7,$D$9:$G23,ROW()-8,0)+O$8),0)+ROUND(N23*O$8,0)</f>
        <v>#N/A</v>
      </c>
      <c r="P23" s="53"/>
      <c r="Q23" s="56"/>
      <c r="R23" s="56"/>
      <c r="S23" s="83" t="e">
        <f>ROUND(P23*(HLOOKUP(P$7,$D$9:$G23,ROW()-8,0)+S$8),0)+ROUND(R23*S$8,0)</f>
        <v>#N/A</v>
      </c>
      <c r="T23" s="53"/>
      <c r="U23" s="56"/>
      <c r="V23" s="56"/>
      <c r="W23" s="83" t="e">
        <f>ROUND(T23*(HLOOKUP(T$7,$D$9:$G23,ROW()-8,0)+W$8),0)+ROUND(V23*W$8,0)</f>
        <v>#N/A</v>
      </c>
      <c r="X23" s="53"/>
      <c r="Y23" s="56"/>
      <c r="Z23" s="56"/>
      <c r="AA23" s="83" t="e">
        <f>ROUND(X23*(HLOOKUP(X$7,$D$9:$G23,ROW()-8,0)+AA$8),0)+ROUND(Z23*AA$8,0)</f>
        <v>#N/A</v>
      </c>
      <c r="AB23" s="53"/>
      <c r="AC23" s="56"/>
      <c r="AD23" s="56"/>
      <c r="AE23" s="83" t="e">
        <f>ROUND(AB23*(HLOOKUP(AB$7,$D$9:$G23,ROW()-8,0)+AE$8),0)+ROUND(AD23*AE$8,0)</f>
        <v>#N/A</v>
      </c>
      <c r="AF23" s="53"/>
      <c r="AG23" s="56"/>
      <c r="AH23" s="56"/>
      <c r="AI23" s="83" t="e">
        <f>ROUND(AF23*(HLOOKUP(AF$7,$D$9:$G23,ROW()-8,0)+AI$8),0)+ROUND(AH23*AI$8,0)</f>
        <v>#N/A</v>
      </c>
      <c r="AJ23" s="53"/>
      <c r="AK23" s="56"/>
      <c r="AL23" s="56"/>
      <c r="AM23" s="83" t="e">
        <f>ROUND(AJ23*(HLOOKUP(AJ$7,$D$9:$G23,ROW()-8,0)+AM$8),0)+ROUND(AL23*AM$8,0)</f>
        <v>#N/A</v>
      </c>
      <c r="AN23" s="53"/>
      <c r="AO23" s="56"/>
      <c r="AP23" s="56"/>
      <c r="AQ23" s="83" t="e">
        <f>ROUND(AN23*(HLOOKUP(AN$7,$D$9:$G23,ROW()-8,0)+AQ$8),0)+ROUND(AP23*AQ$8,0)</f>
        <v>#N/A</v>
      </c>
      <c r="AR23" s="53"/>
      <c r="AS23" s="56"/>
      <c r="AT23" s="56"/>
      <c r="AU23" s="83" t="e">
        <f>ROUND(AR23*(HLOOKUP(AR$7,$D$9:$G23,ROW()-8,0)+AU$8),0)+ROUND(AT23*AU$8,0)</f>
        <v>#N/A</v>
      </c>
      <c r="AV23" s="53"/>
      <c r="AW23" s="56"/>
      <c r="AX23" s="56"/>
      <c r="AY23" s="83" t="e">
        <f>ROUND(AV23*(HLOOKUP(AV$7,$D$9:$G23,ROW()-8,0)+AY$8),0)+ROUND(AX23*AY$8,0)</f>
        <v>#N/A</v>
      </c>
      <c r="AZ23" s="53"/>
      <c r="BA23" s="56"/>
      <c r="BB23" s="56"/>
      <c r="BC23" s="83" t="e">
        <f>ROUND(AZ23*(HLOOKUP(AZ$7,$D$9:$G23,ROW()-8,0)+BC$8),0)+ROUND(BB23*BC$8,0)</f>
        <v>#N/A</v>
      </c>
      <c r="BD23" s="53"/>
      <c r="BE23" s="56"/>
      <c r="BF23" s="56"/>
      <c r="BG23" s="83" t="e">
        <f>ROUND(BD23*(HLOOKUP(BD$7,$D$9:$G23,ROW()-8,0)+BG$8),0)+ROUND(BF23*BG$8,0)</f>
        <v>#N/A</v>
      </c>
      <c r="BH23" s="53"/>
      <c r="BI23" s="56"/>
      <c r="BJ23" s="56"/>
      <c r="BK23" s="83" t="e">
        <f>ROUND(BH23*(HLOOKUP(BH$7,$D$9:$G23,ROW()-8,0)+BK$8),0)+ROUND(BJ23*BK$8,0)</f>
        <v>#N/A</v>
      </c>
      <c r="BL23" s="53"/>
      <c r="BM23" s="56"/>
      <c r="BN23" s="56"/>
      <c r="BO23" s="83" t="e">
        <f>ROUND(BL23*(HLOOKUP(BL$7,$D$9:$G23,ROW()-8,0)+BO$8),0)+ROUND(BN23*BO$8,0)</f>
        <v>#N/A</v>
      </c>
      <c r="BP23" s="53"/>
      <c r="BQ23" s="56"/>
      <c r="BR23" s="56"/>
      <c r="BS23" s="83" t="e">
        <f>ROUND(BP23*(HLOOKUP(BP$7,$D$9:$G23,ROW()-8,0)+BS$8),0)+ROUND(BR23*BS$8,0)</f>
        <v>#N/A</v>
      </c>
      <c r="BT23" s="54">
        <f t="shared" si="2"/>
        <v>0</v>
      </c>
      <c r="BU23" s="54">
        <f t="shared" si="0"/>
        <v>0</v>
      </c>
      <c r="BV23" s="54">
        <f t="shared" si="0"/>
        <v>0</v>
      </c>
      <c r="BW23" s="54">
        <f t="shared" si="0"/>
        <v>0</v>
      </c>
      <c r="BX23" s="63"/>
      <c r="BY23" s="107"/>
      <c r="BZ23" s="57" t="e">
        <f t="shared" si="1"/>
        <v>#DIV/0!</v>
      </c>
    </row>
    <row r="24" spans="3:78" ht="17.25">
      <c r="C24" s="64"/>
      <c r="D24" s="105"/>
      <c r="E24" s="106"/>
      <c r="F24" s="106"/>
      <c r="G24" s="110"/>
      <c r="H24" s="95"/>
      <c r="I24" s="56"/>
      <c r="J24" s="56"/>
      <c r="K24" s="83" t="e">
        <f>ROUND(H24*(HLOOKUP(H$7,$D$9:$G24,ROW()-8,0)+K$8),0)+ROUND(J24*K$8,0)</f>
        <v>#N/A</v>
      </c>
      <c r="L24" s="53"/>
      <c r="M24" s="56"/>
      <c r="N24" s="56"/>
      <c r="O24" s="83" t="e">
        <f>ROUND(L24*(HLOOKUP(L$7,$D$9:$G24,ROW()-8,0)+O$8),0)+ROUND(N24*O$8,0)</f>
        <v>#N/A</v>
      </c>
      <c r="P24" s="53"/>
      <c r="Q24" s="56"/>
      <c r="R24" s="56"/>
      <c r="S24" s="83" t="e">
        <f>ROUND(P24*(HLOOKUP(P$7,$D$9:$G24,ROW()-8,0)+S$8),0)+ROUND(R24*S$8,0)</f>
        <v>#N/A</v>
      </c>
      <c r="T24" s="53"/>
      <c r="U24" s="56"/>
      <c r="V24" s="56"/>
      <c r="W24" s="83" t="e">
        <f>ROUND(T24*(HLOOKUP(T$7,$D$9:$G24,ROW()-8,0)+W$8),0)+ROUND(V24*W$8,0)</f>
        <v>#N/A</v>
      </c>
      <c r="X24" s="53"/>
      <c r="Y24" s="56"/>
      <c r="Z24" s="56"/>
      <c r="AA24" s="83" t="e">
        <f>ROUND(X24*(HLOOKUP(X$7,$D$9:$G24,ROW()-8,0)+AA$8),0)+ROUND(Z24*AA$8,0)</f>
        <v>#N/A</v>
      </c>
      <c r="AB24" s="53"/>
      <c r="AC24" s="56"/>
      <c r="AD24" s="56"/>
      <c r="AE24" s="83" t="e">
        <f>ROUND(AB24*(HLOOKUP(AB$7,$D$9:$G24,ROW()-8,0)+AE$8),0)+ROUND(AD24*AE$8,0)</f>
        <v>#N/A</v>
      </c>
      <c r="AF24" s="53"/>
      <c r="AG24" s="56"/>
      <c r="AH24" s="56"/>
      <c r="AI24" s="83" t="e">
        <f>ROUND(AF24*(HLOOKUP(AF$7,$D$9:$G24,ROW()-8,0)+AI$8),0)+ROUND(AH24*AI$8,0)</f>
        <v>#N/A</v>
      </c>
      <c r="AJ24" s="53"/>
      <c r="AK24" s="56"/>
      <c r="AL24" s="56"/>
      <c r="AM24" s="83" t="e">
        <f>ROUND(AJ24*(HLOOKUP(AJ$7,$D$9:$G24,ROW()-8,0)+AM$8),0)+ROUND(AL24*AM$8,0)</f>
        <v>#N/A</v>
      </c>
      <c r="AN24" s="53"/>
      <c r="AO24" s="56"/>
      <c r="AP24" s="56"/>
      <c r="AQ24" s="83" t="e">
        <f>ROUND(AN24*(HLOOKUP(AN$7,$D$9:$G24,ROW()-8,0)+AQ$8),0)+ROUND(AP24*AQ$8,0)</f>
        <v>#N/A</v>
      </c>
      <c r="AR24" s="53"/>
      <c r="AS24" s="56"/>
      <c r="AT24" s="56"/>
      <c r="AU24" s="83" t="e">
        <f>ROUND(AR24*(HLOOKUP(AR$7,$D$9:$G24,ROW()-8,0)+AU$8),0)+ROUND(AT24*AU$8,0)</f>
        <v>#N/A</v>
      </c>
      <c r="AV24" s="53"/>
      <c r="AW24" s="56"/>
      <c r="AX24" s="56"/>
      <c r="AY24" s="83" t="e">
        <f>ROUND(AV24*(HLOOKUP(AV$7,$D$9:$G24,ROW()-8,0)+AY$8),0)+ROUND(AX24*AY$8,0)</f>
        <v>#N/A</v>
      </c>
      <c r="AZ24" s="53"/>
      <c r="BA24" s="56"/>
      <c r="BB24" s="56"/>
      <c r="BC24" s="83" t="e">
        <f>ROUND(AZ24*(HLOOKUP(AZ$7,$D$9:$G24,ROW()-8,0)+BC$8),0)+ROUND(BB24*BC$8,0)</f>
        <v>#N/A</v>
      </c>
      <c r="BD24" s="53"/>
      <c r="BE24" s="56"/>
      <c r="BF24" s="56"/>
      <c r="BG24" s="83" t="e">
        <f>ROUND(BD24*(HLOOKUP(BD$7,$D$9:$G24,ROW()-8,0)+BG$8),0)+ROUND(BF24*BG$8,0)</f>
        <v>#N/A</v>
      </c>
      <c r="BH24" s="53"/>
      <c r="BI24" s="56"/>
      <c r="BJ24" s="56"/>
      <c r="BK24" s="83" t="e">
        <f>ROUND(BH24*(HLOOKUP(BH$7,$D$9:$G24,ROW()-8,0)+BK$8),0)+ROUND(BJ24*BK$8,0)</f>
        <v>#N/A</v>
      </c>
      <c r="BL24" s="53"/>
      <c r="BM24" s="56"/>
      <c r="BN24" s="56"/>
      <c r="BO24" s="83" t="e">
        <f>ROUND(BL24*(HLOOKUP(BL$7,$D$9:$G24,ROW()-8,0)+BO$8),0)+ROUND(BN24*BO$8,0)</f>
        <v>#N/A</v>
      </c>
      <c r="BP24" s="53"/>
      <c r="BQ24" s="56"/>
      <c r="BR24" s="56"/>
      <c r="BS24" s="83" t="e">
        <f>ROUND(BP24*(HLOOKUP(BP$7,$D$9:$G24,ROW()-8,0)+BS$8),0)+ROUND(BR24*BS$8,0)</f>
        <v>#N/A</v>
      </c>
      <c r="BT24" s="54">
        <f t="shared" si="2"/>
        <v>0</v>
      </c>
      <c r="BU24" s="54">
        <f t="shared" si="0"/>
        <v>0</v>
      </c>
      <c r="BV24" s="54">
        <f t="shared" si="0"/>
        <v>0</v>
      </c>
      <c r="BW24" s="54">
        <f t="shared" si="0"/>
        <v>0</v>
      </c>
      <c r="BX24" s="63"/>
      <c r="BY24" s="107"/>
      <c r="BZ24" s="57" t="e">
        <f t="shared" si="1"/>
        <v>#DIV/0!</v>
      </c>
    </row>
    <row r="25" spans="3:78" ht="17.25">
      <c r="C25" s="64"/>
      <c r="D25" s="105"/>
      <c r="E25" s="106"/>
      <c r="F25" s="106"/>
      <c r="G25" s="110"/>
      <c r="H25" s="95"/>
      <c r="I25" s="56"/>
      <c r="J25" s="56"/>
      <c r="K25" s="83" t="e">
        <f>ROUND(H25*(HLOOKUP(H$7,$D$9:$G25,ROW()-8,0)+K$8),0)+ROUND(J25*K$8,0)</f>
        <v>#N/A</v>
      </c>
      <c r="L25" s="53"/>
      <c r="M25" s="56"/>
      <c r="N25" s="56"/>
      <c r="O25" s="83" t="e">
        <f>ROUND(L25*(HLOOKUP(L$7,$D$9:$G25,ROW()-8,0)+O$8),0)+ROUND(N25*O$8,0)</f>
        <v>#N/A</v>
      </c>
      <c r="P25" s="53"/>
      <c r="Q25" s="56"/>
      <c r="R25" s="56"/>
      <c r="S25" s="83" t="e">
        <f>ROUND(P25*(HLOOKUP(P$7,$D$9:$G25,ROW()-8,0)+S$8),0)+ROUND(R25*S$8,0)</f>
        <v>#N/A</v>
      </c>
      <c r="T25" s="53"/>
      <c r="U25" s="56"/>
      <c r="V25" s="56"/>
      <c r="W25" s="83" t="e">
        <f>ROUND(T25*(HLOOKUP(T$7,$D$9:$G25,ROW()-8,0)+W$8),0)+ROUND(V25*W$8,0)</f>
        <v>#N/A</v>
      </c>
      <c r="X25" s="53"/>
      <c r="Y25" s="56"/>
      <c r="Z25" s="56"/>
      <c r="AA25" s="83" t="e">
        <f>ROUND(X25*(HLOOKUP(X$7,$D$9:$G25,ROW()-8,0)+AA$8),0)+ROUND(Z25*AA$8,0)</f>
        <v>#N/A</v>
      </c>
      <c r="AB25" s="53"/>
      <c r="AC25" s="56"/>
      <c r="AD25" s="56"/>
      <c r="AE25" s="83" t="e">
        <f>ROUND(AB25*(HLOOKUP(AB$7,$D$9:$G25,ROW()-8,0)+AE$8),0)+ROUND(AD25*AE$8,0)</f>
        <v>#N/A</v>
      </c>
      <c r="AF25" s="53"/>
      <c r="AG25" s="56"/>
      <c r="AH25" s="56"/>
      <c r="AI25" s="83" t="e">
        <f>ROUND(AF25*(HLOOKUP(AF$7,$D$9:$G25,ROW()-8,0)+AI$8),0)+ROUND(AH25*AI$8,0)</f>
        <v>#N/A</v>
      </c>
      <c r="AJ25" s="53"/>
      <c r="AK25" s="56"/>
      <c r="AL25" s="56"/>
      <c r="AM25" s="83" t="e">
        <f>ROUND(AJ25*(HLOOKUP(AJ$7,$D$9:$G25,ROW()-8,0)+AM$8),0)+ROUND(AL25*AM$8,0)</f>
        <v>#N/A</v>
      </c>
      <c r="AN25" s="53"/>
      <c r="AO25" s="56"/>
      <c r="AP25" s="56"/>
      <c r="AQ25" s="83" t="e">
        <f>ROUND(AN25*(HLOOKUP(AN$7,$D$9:$G25,ROW()-8,0)+AQ$8),0)+ROUND(AP25*AQ$8,0)</f>
        <v>#N/A</v>
      </c>
      <c r="AR25" s="53"/>
      <c r="AS25" s="56"/>
      <c r="AT25" s="56"/>
      <c r="AU25" s="83" t="e">
        <f>ROUND(AR25*(HLOOKUP(AR$7,$D$9:$G25,ROW()-8,0)+AU$8),0)+ROUND(AT25*AU$8,0)</f>
        <v>#N/A</v>
      </c>
      <c r="AV25" s="53"/>
      <c r="AW25" s="56"/>
      <c r="AX25" s="56"/>
      <c r="AY25" s="83" t="e">
        <f>ROUND(AV25*(HLOOKUP(AV$7,$D$9:$G25,ROW()-8,0)+AY$8),0)+ROUND(AX25*AY$8,0)</f>
        <v>#N/A</v>
      </c>
      <c r="AZ25" s="53"/>
      <c r="BA25" s="56"/>
      <c r="BB25" s="56"/>
      <c r="BC25" s="83" t="e">
        <f>ROUND(AZ25*(HLOOKUP(AZ$7,$D$9:$G25,ROW()-8,0)+BC$8),0)+ROUND(BB25*BC$8,0)</f>
        <v>#N/A</v>
      </c>
      <c r="BD25" s="53"/>
      <c r="BE25" s="56"/>
      <c r="BF25" s="56"/>
      <c r="BG25" s="83" t="e">
        <f>ROUND(BD25*(HLOOKUP(BD$7,$D$9:$G25,ROW()-8,0)+BG$8),0)+ROUND(BF25*BG$8,0)</f>
        <v>#N/A</v>
      </c>
      <c r="BH25" s="53"/>
      <c r="BI25" s="56"/>
      <c r="BJ25" s="56"/>
      <c r="BK25" s="83" t="e">
        <f>ROUND(BH25*(HLOOKUP(BH$7,$D$9:$G25,ROW()-8,0)+BK$8),0)+ROUND(BJ25*BK$8,0)</f>
        <v>#N/A</v>
      </c>
      <c r="BL25" s="53"/>
      <c r="BM25" s="56"/>
      <c r="BN25" s="56"/>
      <c r="BO25" s="83" t="e">
        <f>ROUND(BL25*(HLOOKUP(BL$7,$D$9:$G25,ROW()-8,0)+BO$8),0)+ROUND(BN25*BO$8,0)</f>
        <v>#N/A</v>
      </c>
      <c r="BP25" s="53"/>
      <c r="BQ25" s="56"/>
      <c r="BR25" s="56"/>
      <c r="BS25" s="83" t="e">
        <f>ROUND(BP25*(HLOOKUP(BP$7,$D$9:$G25,ROW()-8,0)+BS$8),0)+ROUND(BR25*BS$8,0)</f>
        <v>#N/A</v>
      </c>
      <c r="BT25" s="54">
        <f t="shared" si="2"/>
        <v>0</v>
      </c>
      <c r="BU25" s="54">
        <f t="shared" si="0"/>
        <v>0</v>
      </c>
      <c r="BV25" s="54">
        <f t="shared" si="0"/>
        <v>0</v>
      </c>
      <c r="BW25" s="54">
        <f t="shared" si="0"/>
        <v>0</v>
      </c>
      <c r="BX25" s="63"/>
      <c r="BY25" s="107"/>
      <c r="BZ25" s="57" t="e">
        <f t="shared" si="1"/>
        <v>#DIV/0!</v>
      </c>
    </row>
    <row r="26" spans="3:78" ht="17.25">
      <c r="C26" s="64"/>
      <c r="D26" s="105"/>
      <c r="E26" s="106"/>
      <c r="F26" s="106"/>
      <c r="G26" s="110"/>
      <c r="H26" s="95"/>
      <c r="I26" s="56"/>
      <c r="J26" s="56"/>
      <c r="K26" s="83" t="e">
        <f>ROUND(H26*(HLOOKUP(H$7,$D$9:$G26,ROW()-8,0)+K$8),0)+ROUND(J26*K$8,0)</f>
        <v>#N/A</v>
      </c>
      <c r="L26" s="53"/>
      <c r="M26" s="56"/>
      <c r="N26" s="56"/>
      <c r="O26" s="83" t="e">
        <f>ROUND(L26*(HLOOKUP(L$7,$D$9:$G26,ROW()-8,0)+O$8),0)+ROUND(N26*O$8,0)</f>
        <v>#N/A</v>
      </c>
      <c r="P26" s="53"/>
      <c r="Q26" s="56"/>
      <c r="R26" s="56"/>
      <c r="S26" s="83" t="e">
        <f>ROUND(P26*(HLOOKUP(P$7,$D$9:$G26,ROW()-8,0)+S$8),0)+ROUND(R26*S$8,0)</f>
        <v>#N/A</v>
      </c>
      <c r="T26" s="53"/>
      <c r="U26" s="56"/>
      <c r="V26" s="56"/>
      <c r="W26" s="83" t="e">
        <f>ROUND(T26*(HLOOKUP(T$7,$D$9:$G26,ROW()-8,0)+W$8),0)+ROUND(V26*W$8,0)</f>
        <v>#N/A</v>
      </c>
      <c r="X26" s="53"/>
      <c r="Y26" s="56"/>
      <c r="Z26" s="56"/>
      <c r="AA26" s="83" t="e">
        <f>ROUND(X26*(HLOOKUP(X$7,$D$9:$G26,ROW()-8,0)+AA$8),0)+ROUND(Z26*AA$8,0)</f>
        <v>#N/A</v>
      </c>
      <c r="AB26" s="53"/>
      <c r="AC26" s="56"/>
      <c r="AD26" s="56"/>
      <c r="AE26" s="83" t="e">
        <f>ROUND(AB26*(HLOOKUP(AB$7,$D$9:$G26,ROW()-8,0)+AE$8),0)+ROUND(AD26*AE$8,0)</f>
        <v>#N/A</v>
      </c>
      <c r="AF26" s="53"/>
      <c r="AG26" s="56"/>
      <c r="AH26" s="56"/>
      <c r="AI26" s="83" t="e">
        <f>ROUND(AF26*(HLOOKUP(AF$7,$D$9:$G26,ROW()-8,0)+AI$8),0)+ROUND(AH26*AI$8,0)</f>
        <v>#N/A</v>
      </c>
      <c r="AJ26" s="53"/>
      <c r="AK26" s="56"/>
      <c r="AL26" s="56"/>
      <c r="AM26" s="83" t="e">
        <f>ROUND(AJ26*(HLOOKUP(AJ$7,$D$9:$G26,ROW()-8,0)+AM$8),0)+ROUND(AL26*AM$8,0)</f>
        <v>#N/A</v>
      </c>
      <c r="AN26" s="53"/>
      <c r="AO26" s="56"/>
      <c r="AP26" s="56"/>
      <c r="AQ26" s="83" t="e">
        <f>ROUND(AN26*(HLOOKUP(AN$7,$D$9:$G26,ROW()-8,0)+AQ$8),0)+ROUND(AP26*AQ$8,0)</f>
        <v>#N/A</v>
      </c>
      <c r="AR26" s="53"/>
      <c r="AS26" s="56"/>
      <c r="AT26" s="56"/>
      <c r="AU26" s="83" t="e">
        <f>ROUND(AR26*(HLOOKUP(AR$7,$D$9:$G26,ROW()-8,0)+AU$8),0)+ROUND(AT26*AU$8,0)</f>
        <v>#N/A</v>
      </c>
      <c r="AV26" s="53"/>
      <c r="AW26" s="56"/>
      <c r="AX26" s="56"/>
      <c r="AY26" s="83" t="e">
        <f>ROUND(AV26*(HLOOKUP(AV$7,$D$9:$G26,ROW()-8,0)+AY$8),0)+ROUND(AX26*AY$8,0)</f>
        <v>#N/A</v>
      </c>
      <c r="AZ26" s="53"/>
      <c r="BA26" s="56"/>
      <c r="BB26" s="56"/>
      <c r="BC26" s="83" t="e">
        <f>ROUND(AZ26*(HLOOKUP(AZ$7,$D$9:$G26,ROW()-8,0)+BC$8),0)+ROUND(BB26*BC$8,0)</f>
        <v>#N/A</v>
      </c>
      <c r="BD26" s="53"/>
      <c r="BE26" s="56"/>
      <c r="BF26" s="56"/>
      <c r="BG26" s="83" t="e">
        <f>ROUND(BD26*(HLOOKUP(BD$7,$D$9:$G26,ROW()-8,0)+BG$8),0)+ROUND(BF26*BG$8,0)</f>
        <v>#N/A</v>
      </c>
      <c r="BH26" s="53"/>
      <c r="BI26" s="56"/>
      <c r="BJ26" s="56"/>
      <c r="BK26" s="83" t="e">
        <f>ROUND(BH26*(HLOOKUP(BH$7,$D$9:$G26,ROW()-8,0)+BK$8),0)+ROUND(BJ26*BK$8,0)</f>
        <v>#N/A</v>
      </c>
      <c r="BL26" s="53"/>
      <c r="BM26" s="56"/>
      <c r="BN26" s="56"/>
      <c r="BO26" s="83" t="e">
        <f>ROUND(BL26*(HLOOKUP(BL$7,$D$9:$G26,ROW()-8,0)+BO$8),0)+ROUND(BN26*BO$8,0)</f>
        <v>#N/A</v>
      </c>
      <c r="BP26" s="53"/>
      <c r="BQ26" s="56"/>
      <c r="BR26" s="56"/>
      <c r="BS26" s="83" t="e">
        <f>ROUND(BP26*(HLOOKUP(BP$7,$D$9:$G26,ROW()-8,0)+BS$8),0)+ROUND(BR26*BS$8,0)</f>
        <v>#N/A</v>
      </c>
      <c r="BT26" s="54">
        <f t="shared" si="2"/>
        <v>0</v>
      </c>
      <c r="BU26" s="54">
        <f t="shared" si="2"/>
        <v>0</v>
      </c>
      <c r="BV26" s="54">
        <f t="shared" si="2"/>
        <v>0</v>
      </c>
      <c r="BW26" s="54">
        <f t="shared" si="2"/>
        <v>0</v>
      </c>
      <c r="BX26" s="63"/>
      <c r="BY26" s="107"/>
      <c r="BZ26" s="57" t="e">
        <f t="shared" si="1"/>
        <v>#DIV/0!</v>
      </c>
    </row>
    <row r="27" spans="3:78" ht="17.25">
      <c r="C27" s="64"/>
      <c r="D27" s="105"/>
      <c r="E27" s="106"/>
      <c r="F27" s="106"/>
      <c r="G27" s="110"/>
      <c r="H27" s="95"/>
      <c r="I27" s="56"/>
      <c r="J27" s="56"/>
      <c r="K27" s="83" t="e">
        <f>ROUND(H27*(HLOOKUP(H$7,$D$9:$G27,ROW()-8,0)+K$8),0)+ROUND(J27*K$8,0)</f>
        <v>#N/A</v>
      </c>
      <c r="L27" s="53"/>
      <c r="M27" s="56"/>
      <c r="N27" s="56"/>
      <c r="O27" s="83" t="e">
        <f>ROUND(L27*(HLOOKUP(L$7,$D$9:$G27,ROW()-8,0)+O$8),0)+ROUND(N27*O$8,0)</f>
        <v>#N/A</v>
      </c>
      <c r="P27" s="53"/>
      <c r="Q27" s="56"/>
      <c r="R27" s="56"/>
      <c r="S27" s="83" t="e">
        <f>ROUND(P27*(HLOOKUP(P$7,$D$9:$G27,ROW()-8,0)+S$8),0)+ROUND(R27*S$8,0)</f>
        <v>#N/A</v>
      </c>
      <c r="T27" s="53"/>
      <c r="U27" s="56"/>
      <c r="V27" s="56"/>
      <c r="W27" s="83" t="e">
        <f>ROUND(T27*(HLOOKUP(T$7,$D$9:$G27,ROW()-8,0)+W$8),0)+ROUND(V27*W$8,0)</f>
        <v>#N/A</v>
      </c>
      <c r="X27" s="53"/>
      <c r="Y27" s="56"/>
      <c r="Z27" s="56"/>
      <c r="AA27" s="83" t="e">
        <f>ROUND(X27*(HLOOKUP(X$7,$D$9:$G27,ROW()-8,0)+AA$8),0)+ROUND(Z27*AA$8,0)</f>
        <v>#N/A</v>
      </c>
      <c r="AB27" s="53"/>
      <c r="AC27" s="56"/>
      <c r="AD27" s="56"/>
      <c r="AE27" s="83" t="e">
        <f>ROUND(AB27*(HLOOKUP(AB$7,$D$9:$G27,ROW()-8,0)+AE$8),0)+ROUND(AD27*AE$8,0)</f>
        <v>#N/A</v>
      </c>
      <c r="AF27" s="53"/>
      <c r="AG27" s="56"/>
      <c r="AH27" s="56"/>
      <c r="AI27" s="83" t="e">
        <f>ROUND(AF27*(HLOOKUP(AF$7,$D$9:$G27,ROW()-8,0)+AI$8),0)+ROUND(AH27*AI$8,0)</f>
        <v>#N/A</v>
      </c>
      <c r="AJ27" s="53"/>
      <c r="AK27" s="56"/>
      <c r="AL27" s="56"/>
      <c r="AM27" s="83" t="e">
        <f>ROUND(AJ27*(HLOOKUP(AJ$7,$D$9:$G27,ROW()-8,0)+AM$8),0)+ROUND(AL27*AM$8,0)</f>
        <v>#N/A</v>
      </c>
      <c r="AN27" s="53"/>
      <c r="AO27" s="56"/>
      <c r="AP27" s="56"/>
      <c r="AQ27" s="83" t="e">
        <f>ROUND(AN27*(HLOOKUP(AN$7,$D$9:$G27,ROW()-8,0)+AQ$8),0)+ROUND(AP27*AQ$8,0)</f>
        <v>#N/A</v>
      </c>
      <c r="AR27" s="53"/>
      <c r="AS27" s="56"/>
      <c r="AT27" s="56"/>
      <c r="AU27" s="83" t="e">
        <f>ROUND(AR27*(HLOOKUP(AR$7,$D$9:$G27,ROW()-8,0)+AU$8),0)+ROUND(AT27*AU$8,0)</f>
        <v>#N/A</v>
      </c>
      <c r="AV27" s="53"/>
      <c r="AW27" s="56"/>
      <c r="AX27" s="56"/>
      <c r="AY27" s="83" t="e">
        <f>ROUND(AV27*(HLOOKUP(AV$7,$D$9:$G27,ROW()-8,0)+AY$8),0)+ROUND(AX27*AY$8,0)</f>
        <v>#N/A</v>
      </c>
      <c r="AZ27" s="53"/>
      <c r="BA27" s="56"/>
      <c r="BB27" s="56"/>
      <c r="BC27" s="83" t="e">
        <f>ROUND(AZ27*(HLOOKUP(AZ$7,$D$9:$G27,ROW()-8,0)+BC$8),0)+ROUND(BB27*BC$8,0)</f>
        <v>#N/A</v>
      </c>
      <c r="BD27" s="53"/>
      <c r="BE27" s="56"/>
      <c r="BF27" s="56"/>
      <c r="BG27" s="83" t="e">
        <f>ROUND(BD27*(HLOOKUP(BD$7,$D$9:$G27,ROW()-8,0)+BG$8),0)+ROUND(BF27*BG$8,0)</f>
        <v>#N/A</v>
      </c>
      <c r="BH27" s="53"/>
      <c r="BI27" s="56"/>
      <c r="BJ27" s="56"/>
      <c r="BK27" s="83" t="e">
        <f>ROUND(BH27*(HLOOKUP(BH$7,$D$9:$G27,ROW()-8,0)+BK$8),0)+ROUND(BJ27*BK$8,0)</f>
        <v>#N/A</v>
      </c>
      <c r="BL27" s="53"/>
      <c r="BM27" s="56"/>
      <c r="BN27" s="56"/>
      <c r="BO27" s="83" t="e">
        <f>ROUND(BL27*(HLOOKUP(BL$7,$D$9:$G27,ROW()-8,0)+BO$8),0)+ROUND(BN27*BO$8,0)</f>
        <v>#N/A</v>
      </c>
      <c r="BP27" s="53"/>
      <c r="BQ27" s="56"/>
      <c r="BR27" s="56"/>
      <c r="BS27" s="83" t="e">
        <f>ROUND(BP27*(HLOOKUP(BP$7,$D$9:$G27,ROW()-8,0)+BS$8),0)+ROUND(BR27*BS$8,0)</f>
        <v>#N/A</v>
      </c>
      <c r="BT27" s="54">
        <f t="shared" si="2"/>
        <v>0</v>
      </c>
      <c r="BU27" s="54">
        <f t="shared" si="2"/>
        <v>0</v>
      </c>
      <c r="BV27" s="54">
        <f t="shared" si="2"/>
        <v>0</v>
      </c>
      <c r="BW27" s="54">
        <f t="shared" si="2"/>
        <v>0</v>
      </c>
      <c r="BX27" s="63"/>
      <c r="BY27" s="107"/>
      <c r="BZ27" s="57" t="e">
        <f t="shared" si="1"/>
        <v>#DIV/0!</v>
      </c>
    </row>
    <row r="28" spans="3:78" ht="17.25">
      <c r="C28" s="64"/>
      <c r="D28" s="105"/>
      <c r="E28" s="106"/>
      <c r="F28" s="106"/>
      <c r="G28" s="110"/>
      <c r="H28" s="95"/>
      <c r="I28" s="56"/>
      <c r="J28" s="56"/>
      <c r="K28" s="83" t="e">
        <f>ROUND(H28*(HLOOKUP(H$7,$D$9:$G28,ROW()-8,0)+K$8),0)+ROUND(J28*K$8,0)</f>
        <v>#N/A</v>
      </c>
      <c r="L28" s="53"/>
      <c r="M28" s="56"/>
      <c r="N28" s="56"/>
      <c r="O28" s="83" t="e">
        <f>ROUND(L28*(HLOOKUP(L$7,$D$9:$G28,ROW()-8,0)+O$8),0)+ROUND(N28*O$8,0)</f>
        <v>#N/A</v>
      </c>
      <c r="P28" s="53"/>
      <c r="Q28" s="56"/>
      <c r="R28" s="56"/>
      <c r="S28" s="83" t="e">
        <f>ROUND(P28*(HLOOKUP(P$7,$D$9:$G28,ROW()-8,0)+S$8),0)+ROUND(R28*S$8,0)</f>
        <v>#N/A</v>
      </c>
      <c r="T28" s="53"/>
      <c r="U28" s="56"/>
      <c r="V28" s="56"/>
      <c r="W28" s="83" t="e">
        <f>ROUND(T28*(HLOOKUP(T$7,$D$9:$G28,ROW()-8,0)+W$8),0)+ROUND(V28*W$8,0)</f>
        <v>#N/A</v>
      </c>
      <c r="X28" s="53"/>
      <c r="Y28" s="56"/>
      <c r="Z28" s="56"/>
      <c r="AA28" s="83" t="e">
        <f>ROUND(X28*(HLOOKUP(X$7,$D$9:$G28,ROW()-8,0)+AA$8),0)+ROUND(Z28*AA$8,0)</f>
        <v>#N/A</v>
      </c>
      <c r="AB28" s="53"/>
      <c r="AC28" s="56"/>
      <c r="AD28" s="56"/>
      <c r="AE28" s="83" t="e">
        <f>ROUND(AB28*(HLOOKUP(AB$7,$D$9:$G28,ROW()-8,0)+AE$8),0)+ROUND(AD28*AE$8,0)</f>
        <v>#N/A</v>
      </c>
      <c r="AF28" s="53"/>
      <c r="AG28" s="56"/>
      <c r="AH28" s="56"/>
      <c r="AI28" s="83" t="e">
        <f>ROUND(AF28*(HLOOKUP(AF$7,$D$9:$G28,ROW()-8,0)+AI$8),0)+ROUND(AH28*AI$8,0)</f>
        <v>#N/A</v>
      </c>
      <c r="AJ28" s="53"/>
      <c r="AK28" s="56"/>
      <c r="AL28" s="56"/>
      <c r="AM28" s="83" t="e">
        <f>ROUND(AJ28*(HLOOKUP(AJ$7,$D$9:$G28,ROW()-8,0)+AM$8),0)+ROUND(AL28*AM$8,0)</f>
        <v>#N/A</v>
      </c>
      <c r="AN28" s="53"/>
      <c r="AO28" s="56"/>
      <c r="AP28" s="56"/>
      <c r="AQ28" s="83" t="e">
        <f>ROUND(AN28*(HLOOKUP(AN$7,$D$9:$G28,ROW()-8,0)+AQ$8),0)+ROUND(AP28*AQ$8,0)</f>
        <v>#N/A</v>
      </c>
      <c r="AR28" s="53"/>
      <c r="AS28" s="56"/>
      <c r="AT28" s="56"/>
      <c r="AU28" s="83" t="e">
        <f>ROUND(AR28*(HLOOKUP(AR$7,$D$9:$G28,ROW()-8,0)+AU$8),0)+ROUND(AT28*AU$8,0)</f>
        <v>#N/A</v>
      </c>
      <c r="AV28" s="53"/>
      <c r="AW28" s="56"/>
      <c r="AX28" s="56"/>
      <c r="AY28" s="83" t="e">
        <f>ROUND(AV28*(HLOOKUP(AV$7,$D$9:$G28,ROW()-8,0)+AY$8),0)+ROUND(AX28*AY$8,0)</f>
        <v>#N/A</v>
      </c>
      <c r="AZ28" s="53"/>
      <c r="BA28" s="56"/>
      <c r="BB28" s="56"/>
      <c r="BC28" s="83" t="e">
        <f>ROUND(AZ28*(HLOOKUP(AZ$7,$D$9:$G28,ROW()-8,0)+BC$8),0)+ROUND(BB28*BC$8,0)</f>
        <v>#N/A</v>
      </c>
      <c r="BD28" s="53"/>
      <c r="BE28" s="56"/>
      <c r="BF28" s="56"/>
      <c r="BG28" s="83" t="e">
        <f>ROUND(BD28*(HLOOKUP(BD$7,$D$9:$G28,ROW()-8,0)+BG$8),0)+ROUND(BF28*BG$8,0)</f>
        <v>#N/A</v>
      </c>
      <c r="BH28" s="53"/>
      <c r="BI28" s="56"/>
      <c r="BJ28" s="56"/>
      <c r="BK28" s="83" t="e">
        <f>ROUND(BH28*(HLOOKUP(BH$7,$D$9:$G28,ROW()-8,0)+BK$8),0)+ROUND(BJ28*BK$8,0)</f>
        <v>#N/A</v>
      </c>
      <c r="BL28" s="53"/>
      <c r="BM28" s="56"/>
      <c r="BN28" s="56"/>
      <c r="BO28" s="83" t="e">
        <f>ROUND(BL28*(HLOOKUP(BL$7,$D$9:$G28,ROW()-8,0)+BO$8),0)+ROUND(BN28*BO$8,0)</f>
        <v>#N/A</v>
      </c>
      <c r="BP28" s="53"/>
      <c r="BQ28" s="56"/>
      <c r="BR28" s="56"/>
      <c r="BS28" s="83" t="e">
        <f>ROUND(BP28*(HLOOKUP(BP$7,$D$9:$G28,ROW()-8,0)+BS$8),0)+ROUND(BR28*BS$8,0)</f>
        <v>#N/A</v>
      </c>
      <c r="BT28" s="54">
        <f t="shared" si="2"/>
        <v>0</v>
      </c>
      <c r="BU28" s="54">
        <f t="shared" si="2"/>
        <v>0</v>
      </c>
      <c r="BV28" s="54">
        <f t="shared" si="2"/>
        <v>0</v>
      </c>
      <c r="BW28" s="54">
        <f t="shared" si="2"/>
        <v>0</v>
      </c>
      <c r="BX28" s="63"/>
      <c r="BY28" s="107"/>
      <c r="BZ28" s="57" t="e">
        <f t="shared" si="1"/>
        <v>#DIV/0!</v>
      </c>
    </row>
    <row r="29" spans="3:78" ht="17.25">
      <c r="C29" s="64"/>
      <c r="D29" s="105"/>
      <c r="E29" s="106"/>
      <c r="F29" s="106"/>
      <c r="G29" s="110"/>
      <c r="H29" s="95"/>
      <c r="I29" s="56"/>
      <c r="J29" s="56"/>
      <c r="K29" s="83" t="e">
        <f>ROUND(H29*(HLOOKUP(H$7,$D$9:$G29,ROW()-8,0)+K$8),0)+ROUND(J29*K$8,0)</f>
        <v>#N/A</v>
      </c>
      <c r="L29" s="53"/>
      <c r="M29" s="56"/>
      <c r="N29" s="56"/>
      <c r="O29" s="83" t="e">
        <f>ROUND(L29*(HLOOKUP(L$7,$D$9:$G29,ROW()-8,0)+O$8),0)+ROUND(N29*O$8,0)</f>
        <v>#N/A</v>
      </c>
      <c r="P29" s="53"/>
      <c r="Q29" s="56"/>
      <c r="R29" s="56"/>
      <c r="S29" s="83" t="e">
        <f>ROUND(P29*(HLOOKUP(P$7,$D$9:$G29,ROW()-8,0)+S$8),0)+ROUND(R29*S$8,0)</f>
        <v>#N/A</v>
      </c>
      <c r="T29" s="53"/>
      <c r="U29" s="56"/>
      <c r="V29" s="56"/>
      <c r="W29" s="83" t="e">
        <f>ROUND(T29*(HLOOKUP(T$7,$D$9:$G29,ROW()-8,0)+W$8),0)+ROUND(V29*W$8,0)</f>
        <v>#N/A</v>
      </c>
      <c r="X29" s="53"/>
      <c r="Y29" s="56"/>
      <c r="Z29" s="56"/>
      <c r="AA29" s="83" t="e">
        <f>ROUND(X29*(HLOOKUP(X$7,$D$9:$G29,ROW()-8,0)+AA$8),0)+ROUND(Z29*AA$8,0)</f>
        <v>#N/A</v>
      </c>
      <c r="AB29" s="53"/>
      <c r="AC29" s="56"/>
      <c r="AD29" s="56"/>
      <c r="AE29" s="83" t="e">
        <f>ROUND(AB29*(HLOOKUP(AB$7,$D$9:$G29,ROW()-8,0)+AE$8),0)+ROUND(AD29*AE$8,0)</f>
        <v>#N/A</v>
      </c>
      <c r="AF29" s="53"/>
      <c r="AG29" s="56"/>
      <c r="AH29" s="56"/>
      <c r="AI29" s="83" t="e">
        <f>ROUND(AF29*(HLOOKUP(AF$7,$D$9:$G29,ROW()-8,0)+AI$8),0)+ROUND(AH29*AI$8,0)</f>
        <v>#N/A</v>
      </c>
      <c r="AJ29" s="53"/>
      <c r="AK29" s="56"/>
      <c r="AL29" s="56"/>
      <c r="AM29" s="83" t="e">
        <f>ROUND(AJ29*(HLOOKUP(AJ$7,$D$9:$G29,ROW()-8,0)+AM$8),0)+ROUND(AL29*AM$8,0)</f>
        <v>#N/A</v>
      </c>
      <c r="AN29" s="53"/>
      <c r="AO29" s="56"/>
      <c r="AP29" s="56"/>
      <c r="AQ29" s="83" t="e">
        <f>ROUND(AN29*(HLOOKUP(AN$7,$D$9:$G29,ROW()-8,0)+AQ$8),0)+ROUND(AP29*AQ$8,0)</f>
        <v>#N/A</v>
      </c>
      <c r="AR29" s="53"/>
      <c r="AS29" s="56"/>
      <c r="AT29" s="56"/>
      <c r="AU29" s="83" t="e">
        <f>ROUND(AR29*(HLOOKUP(AR$7,$D$9:$G29,ROW()-8,0)+AU$8),0)+ROUND(AT29*AU$8,0)</f>
        <v>#N/A</v>
      </c>
      <c r="AV29" s="53"/>
      <c r="AW29" s="56"/>
      <c r="AX29" s="56"/>
      <c r="AY29" s="83" t="e">
        <f>ROUND(AV29*(HLOOKUP(AV$7,$D$9:$G29,ROW()-8,0)+AY$8),0)+ROUND(AX29*AY$8,0)</f>
        <v>#N/A</v>
      </c>
      <c r="AZ29" s="53"/>
      <c r="BA29" s="56"/>
      <c r="BB29" s="56"/>
      <c r="BC29" s="83" t="e">
        <f>ROUND(AZ29*(HLOOKUP(AZ$7,$D$9:$G29,ROW()-8,0)+BC$8),0)+ROUND(BB29*BC$8,0)</f>
        <v>#N/A</v>
      </c>
      <c r="BD29" s="53"/>
      <c r="BE29" s="56"/>
      <c r="BF29" s="56"/>
      <c r="BG29" s="83" t="e">
        <f>ROUND(BD29*(HLOOKUP(BD$7,$D$9:$G29,ROW()-8,0)+BG$8),0)+ROUND(BF29*BG$8,0)</f>
        <v>#N/A</v>
      </c>
      <c r="BH29" s="53"/>
      <c r="BI29" s="56"/>
      <c r="BJ29" s="56"/>
      <c r="BK29" s="83" t="e">
        <f>ROUND(BH29*(HLOOKUP(BH$7,$D$9:$G29,ROW()-8,0)+BK$8),0)+ROUND(BJ29*BK$8,0)</f>
        <v>#N/A</v>
      </c>
      <c r="BL29" s="53"/>
      <c r="BM29" s="56"/>
      <c r="BN29" s="56"/>
      <c r="BO29" s="83" t="e">
        <f>ROUND(BL29*(HLOOKUP(BL$7,$D$9:$G29,ROW()-8,0)+BO$8),0)+ROUND(BN29*BO$8,0)</f>
        <v>#N/A</v>
      </c>
      <c r="BP29" s="53"/>
      <c r="BQ29" s="56"/>
      <c r="BR29" s="56"/>
      <c r="BS29" s="83" t="e">
        <f>ROUND(BP29*(HLOOKUP(BP$7,$D$9:$G29,ROW()-8,0)+BS$8),0)+ROUND(BR29*BS$8,0)</f>
        <v>#N/A</v>
      </c>
      <c r="BT29" s="54">
        <f t="shared" si="2"/>
        <v>0</v>
      </c>
      <c r="BU29" s="54">
        <f t="shared" si="2"/>
        <v>0</v>
      </c>
      <c r="BV29" s="54">
        <f t="shared" si="2"/>
        <v>0</v>
      </c>
      <c r="BW29" s="54">
        <f t="shared" si="2"/>
        <v>0</v>
      </c>
      <c r="BX29" s="63"/>
      <c r="BY29" s="107"/>
      <c r="BZ29" s="57" t="e">
        <f t="shared" si="1"/>
        <v>#DIV/0!</v>
      </c>
    </row>
    <row r="30" spans="3:78" ht="17.25">
      <c r="C30" s="64"/>
      <c r="D30" s="105"/>
      <c r="E30" s="106"/>
      <c r="F30" s="106"/>
      <c r="G30" s="110"/>
      <c r="H30" s="95"/>
      <c r="I30" s="56"/>
      <c r="J30" s="56"/>
      <c r="K30" s="83" t="e">
        <f>ROUND(H30*(HLOOKUP(H$7,$D$9:$G30,ROW()-8,0)+K$8),0)+ROUND(J30*K$8,0)</f>
        <v>#N/A</v>
      </c>
      <c r="L30" s="53"/>
      <c r="M30" s="56"/>
      <c r="N30" s="56"/>
      <c r="O30" s="83" t="e">
        <f>ROUND(L30*(HLOOKUP(L$7,$D$9:$G30,ROW()-8,0)+O$8),0)+ROUND(N30*O$8,0)</f>
        <v>#N/A</v>
      </c>
      <c r="P30" s="53"/>
      <c r="Q30" s="56"/>
      <c r="R30" s="56"/>
      <c r="S30" s="83" t="e">
        <f>ROUND(P30*(HLOOKUP(P$7,$D$9:$G30,ROW()-8,0)+S$8),0)+ROUND(R30*S$8,0)</f>
        <v>#N/A</v>
      </c>
      <c r="T30" s="53"/>
      <c r="U30" s="56"/>
      <c r="V30" s="56"/>
      <c r="W30" s="83" t="e">
        <f>ROUND(T30*(HLOOKUP(T$7,$D$9:$G30,ROW()-8,0)+W$8),0)+ROUND(V30*W$8,0)</f>
        <v>#N/A</v>
      </c>
      <c r="X30" s="53"/>
      <c r="Y30" s="56"/>
      <c r="Z30" s="56"/>
      <c r="AA30" s="83" t="e">
        <f>ROUND(X30*(HLOOKUP(X$7,$D$9:$G30,ROW()-8,0)+AA$8),0)+ROUND(Z30*AA$8,0)</f>
        <v>#N/A</v>
      </c>
      <c r="AB30" s="53"/>
      <c r="AC30" s="56"/>
      <c r="AD30" s="56"/>
      <c r="AE30" s="83" t="e">
        <f>ROUND(AB30*(HLOOKUP(AB$7,$D$9:$G30,ROW()-8,0)+AE$8),0)+ROUND(AD30*AE$8,0)</f>
        <v>#N/A</v>
      </c>
      <c r="AF30" s="53"/>
      <c r="AG30" s="56"/>
      <c r="AH30" s="56"/>
      <c r="AI30" s="83" t="e">
        <f>ROUND(AF30*(HLOOKUP(AF$7,$D$9:$G30,ROW()-8,0)+AI$8),0)+ROUND(AH30*AI$8,0)</f>
        <v>#N/A</v>
      </c>
      <c r="AJ30" s="53"/>
      <c r="AK30" s="56"/>
      <c r="AL30" s="56"/>
      <c r="AM30" s="83" t="e">
        <f>ROUND(AJ30*(HLOOKUP(AJ$7,$D$9:$G30,ROW()-8,0)+AM$8),0)+ROUND(AL30*AM$8,0)</f>
        <v>#N/A</v>
      </c>
      <c r="AN30" s="53"/>
      <c r="AO30" s="56"/>
      <c r="AP30" s="56"/>
      <c r="AQ30" s="83" t="e">
        <f>ROUND(AN30*(HLOOKUP(AN$7,$D$9:$G30,ROW()-8,0)+AQ$8),0)+ROUND(AP30*AQ$8,0)</f>
        <v>#N/A</v>
      </c>
      <c r="AR30" s="53"/>
      <c r="AS30" s="56"/>
      <c r="AT30" s="56"/>
      <c r="AU30" s="83" t="e">
        <f>ROUND(AR30*(HLOOKUP(AR$7,$D$9:$G30,ROW()-8,0)+AU$8),0)+ROUND(AT30*AU$8,0)</f>
        <v>#N/A</v>
      </c>
      <c r="AV30" s="53"/>
      <c r="AW30" s="56"/>
      <c r="AX30" s="56"/>
      <c r="AY30" s="83" t="e">
        <f>ROUND(AV30*(HLOOKUP(AV$7,$D$9:$G30,ROW()-8,0)+AY$8),0)+ROUND(AX30*AY$8,0)</f>
        <v>#N/A</v>
      </c>
      <c r="AZ30" s="53"/>
      <c r="BA30" s="56"/>
      <c r="BB30" s="56"/>
      <c r="BC30" s="83" t="e">
        <f>ROUND(AZ30*(HLOOKUP(AZ$7,$D$9:$G30,ROW()-8,0)+BC$8),0)+ROUND(BB30*BC$8,0)</f>
        <v>#N/A</v>
      </c>
      <c r="BD30" s="53"/>
      <c r="BE30" s="56"/>
      <c r="BF30" s="56"/>
      <c r="BG30" s="83" t="e">
        <f>ROUND(BD30*(HLOOKUP(BD$7,$D$9:$G30,ROW()-8,0)+BG$8),0)+ROUND(BF30*BG$8,0)</f>
        <v>#N/A</v>
      </c>
      <c r="BH30" s="53"/>
      <c r="BI30" s="56"/>
      <c r="BJ30" s="56"/>
      <c r="BK30" s="83" t="e">
        <f>ROUND(BH30*(HLOOKUP(BH$7,$D$9:$G30,ROW()-8,0)+BK$8),0)+ROUND(BJ30*BK$8,0)</f>
        <v>#N/A</v>
      </c>
      <c r="BL30" s="53"/>
      <c r="BM30" s="56"/>
      <c r="BN30" s="56"/>
      <c r="BO30" s="83" t="e">
        <f>ROUND(BL30*(HLOOKUP(BL$7,$D$9:$G30,ROW()-8,0)+BO$8),0)+ROUND(BN30*BO$8,0)</f>
        <v>#N/A</v>
      </c>
      <c r="BP30" s="53"/>
      <c r="BQ30" s="56"/>
      <c r="BR30" s="56"/>
      <c r="BS30" s="83" t="e">
        <f>ROUND(BP30*(HLOOKUP(BP$7,$D$9:$G30,ROW()-8,0)+BS$8),0)+ROUND(BR30*BS$8,0)</f>
        <v>#N/A</v>
      </c>
      <c r="BT30" s="54">
        <f t="shared" si="2"/>
        <v>0</v>
      </c>
      <c r="BU30" s="54">
        <f t="shared" si="2"/>
        <v>0</v>
      </c>
      <c r="BV30" s="54">
        <f t="shared" si="2"/>
        <v>0</v>
      </c>
      <c r="BW30" s="54">
        <f t="shared" si="2"/>
        <v>0</v>
      </c>
      <c r="BX30" s="63"/>
      <c r="BY30" s="107"/>
      <c r="BZ30" s="57" t="e">
        <f t="shared" si="1"/>
        <v>#DIV/0!</v>
      </c>
    </row>
    <row r="31" spans="3:78" ht="17.25">
      <c r="C31" s="64"/>
      <c r="D31" s="105"/>
      <c r="E31" s="106"/>
      <c r="F31" s="106"/>
      <c r="G31" s="110"/>
      <c r="H31" s="95"/>
      <c r="I31" s="56"/>
      <c r="J31" s="56"/>
      <c r="K31" s="83" t="e">
        <f>ROUND(H31*(HLOOKUP(H$7,$D$9:$G31,ROW()-8,0)+K$8),0)+ROUND(J31*K$8,0)</f>
        <v>#N/A</v>
      </c>
      <c r="L31" s="53"/>
      <c r="M31" s="56"/>
      <c r="N31" s="56"/>
      <c r="O31" s="83" t="e">
        <f>ROUND(L31*(HLOOKUP(L$7,$D$9:$G31,ROW()-8,0)+O$8),0)+ROUND(N31*O$8,0)</f>
        <v>#N/A</v>
      </c>
      <c r="P31" s="53"/>
      <c r="Q31" s="56"/>
      <c r="R31" s="56"/>
      <c r="S31" s="83" t="e">
        <f>ROUND(P31*(HLOOKUP(P$7,$D$9:$G31,ROW()-8,0)+S$8),0)+ROUND(R31*S$8,0)</f>
        <v>#N/A</v>
      </c>
      <c r="T31" s="53"/>
      <c r="U31" s="56"/>
      <c r="V31" s="56"/>
      <c r="W31" s="83" t="e">
        <f>ROUND(T31*(HLOOKUP(T$7,$D$9:$G31,ROW()-8,0)+W$8),0)+ROUND(V31*W$8,0)</f>
        <v>#N/A</v>
      </c>
      <c r="X31" s="53"/>
      <c r="Y31" s="56"/>
      <c r="Z31" s="56"/>
      <c r="AA31" s="83" t="e">
        <f>ROUND(X31*(HLOOKUP(X$7,$D$9:$G31,ROW()-8,0)+AA$8),0)+ROUND(Z31*AA$8,0)</f>
        <v>#N/A</v>
      </c>
      <c r="AB31" s="53"/>
      <c r="AC31" s="56"/>
      <c r="AD31" s="56"/>
      <c r="AE31" s="83" t="e">
        <f>ROUND(AB31*(HLOOKUP(AB$7,$D$9:$G31,ROW()-8,0)+AE$8),0)+ROUND(AD31*AE$8,0)</f>
        <v>#N/A</v>
      </c>
      <c r="AF31" s="53"/>
      <c r="AG31" s="56"/>
      <c r="AH31" s="56"/>
      <c r="AI31" s="83" t="e">
        <f>ROUND(AF31*(HLOOKUP(AF$7,$D$9:$G31,ROW()-8,0)+AI$8),0)+ROUND(AH31*AI$8,0)</f>
        <v>#N/A</v>
      </c>
      <c r="AJ31" s="53"/>
      <c r="AK31" s="56"/>
      <c r="AL31" s="56"/>
      <c r="AM31" s="83" t="e">
        <f>ROUND(AJ31*(HLOOKUP(AJ$7,$D$9:$G31,ROW()-8,0)+AM$8),0)+ROUND(AL31*AM$8,0)</f>
        <v>#N/A</v>
      </c>
      <c r="AN31" s="53"/>
      <c r="AO31" s="56"/>
      <c r="AP31" s="56"/>
      <c r="AQ31" s="83" t="e">
        <f>ROUND(AN31*(HLOOKUP(AN$7,$D$9:$G31,ROW()-8,0)+AQ$8),0)+ROUND(AP31*AQ$8,0)</f>
        <v>#N/A</v>
      </c>
      <c r="AR31" s="53"/>
      <c r="AS31" s="56"/>
      <c r="AT31" s="56"/>
      <c r="AU31" s="83" t="e">
        <f>ROUND(AR31*(HLOOKUP(AR$7,$D$9:$G31,ROW()-8,0)+AU$8),0)+ROUND(AT31*AU$8,0)</f>
        <v>#N/A</v>
      </c>
      <c r="AV31" s="53"/>
      <c r="AW31" s="56"/>
      <c r="AX31" s="56"/>
      <c r="AY31" s="83" t="e">
        <f>ROUND(AV31*(HLOOKUP(AV$7,$D$9:$G31,ROW()-8,0)+AY$8),0)+ROUND(AX31*AY$8,0)</f>
        <v>#N/A</v>
      </c>
      <c r="AZ31" s="53"/>
      <c r="BA31" s="56"/>
      <c r="BB31" s="56"/>
      <c r="BC31" s="83" t="e">
        <f>ROUND(AZ31*(HLOOKUP(AZ$7,$D$9:$G31,ROW()-8,0)+BC$8),0)+ROUND(BB31*BC$8,0)</f>
        <v>#N/A</v>
      </c>
      <c r="BD31" s="53"/>
      <c r="BE31" s="56"/>
      <c r="BF31" s="56"/>
      <c r="BG31" s="83" t="e">
        <f>ROUND(BD31*(HLOOKUP(BD$7,$D$9:$G31,ROW()-8,0)+BG$8),0)+ROUND(BF31*BG$8,0)</f>
        <v>#N/A</v>
      </c>
      <c r="BH31" s="53"/>
      <c r="BI31" s="56"/>
      <c r="BJ31" s="56"/>
      <c r="BK31" s="83" t="e">
        <f>ROUND(BH31*(HLOOKUP(BH$7,$D$9:$G31,ROW()-8,0)+BK$8),0)+ROUND(BJ31*BK$8,0)</f>
        <v>#N/A</v>
      </c>
      <c r="BL31" s="53"/>
      <c r="BM31" s="56"/>
      <c r="BN31" s="56"/>
      <c r="BO31" s="83" t="e">
        <f>ROUND(BL31*(HLOOKUP(BL$7,$D$9:$G31,ROW()-8,0)+BO$8),0)+ROUND(BN31*BO$8,0)</f>
        <v>#N/A</v>
      </c>
      <c r="BP31" s="53"/>
      <c r="BQ31" s="56"/>
      <c r="BR31" s="56"/>
      <c r="BS31" s="83" t="e">
        <f>ROUND(BP31*(HLOOKUP(BP$7,$D$9:$G31,ROW()-8,0)+BS$8),0)+ROUND(BR31*BS$8,0)</f>
        <v>#N/A</v>
      </c>
      <c r="BT31" s="54">
        <f t="shared" si="2"/>
        <v>0</v>
      </c>
      <c r="BU31" s="54">
        <f t="shared" si="2"/>
        <v>0</v>
      </c>
      <c r="BV31" s="54">
        <f t="shared" si="2"/>
        <v>0</v>
      </c>
      <c r="BW31" s="54">
        <f t="shared" si="2"/>
        <v>0</v>
      </c>
      <c r="BX31" s="63"/>
      <c r="BY31" s="107"/>
      <c r="BZ31" s="57" t="e">
        <f t="shared" si="1"/>
        <v>#DIV/0!</v>
      </c>
    </row>
    <row r="32" spans="3:78" ht="17.25">
      <c r="C32" s="64"/>
      <c r="D32" s="105"/>
      <c r="E32" s="106"/>
      <c r="F32" s="106"/>
      <c r="G32" s="110"/>
      <c r="H32" s="95"/>
      <c r="I32" s="56"/>
      <c r="J32" s="56"/>
      <c r="K32" s="83" t="e">
        <f>ROUND(H32*(HLOOKUP(H$7,$D$9:$G32,ROW()-8,0)+K$8),0)+ROUND(J32*K$8,0)</f>
        <v>#N/A</v>
      </c>
      <c r="L32" s="53"/>
      <c r="M32" s="56"/>
      <c r="N32" s="56"/>
      <c r="O32" s="83" t="e">
        <f>ROUND(L32*(HLOOKUP(L$7,$D$9:$G32,ROW()-8,0)+O$8),0)+ROUND(N32*O$8,0)</f>
        <v>#N/A</v>
      </c>
      <c r="P32" s="53"/>
      <c r="Q32" s="56"/>
      <c r="R32" s="56"/>
      <c r="S32" s="83" t="e">
        <f>ROUND(P32*(HLOOKUP(P$7,$D$9:$G32,ROW()-8,0)+S$8),0)+ROUND(R32*S$8,0)</f>
        <v>#N/A</v>
      </c>
      <c r="T32" s="53"/>
      <c r="U32" s="56"/>
      <c r="V32" s="56"/>
      <c r="W32" s="83" t="e">
        <f>ROUND(T32*(HLOOKUP(T$7,$D$9:$G32,ROW()-8,0)+W$8),0)+ROUND(V32*W$8,0)</f>
        <v>#N/A</v>
      </c>
      <c r="X32" s="53"/>
      <c r="Y32" s="56"/>
      <c r="Z32" s="56"/>
      <c r="AA32" s="83" t="e">
        <f>ROUND(X32*(HLOOKUP(X$7,$D$9:$G32,ROW()-8,0)+AA$8),0)+ROUND(Z32*AA$8,0)</f>
        <v>#N/A</v>
      </c>
      <c r="AB32" s="53"/>
      <c r="AC32" s="56"/>
      <c r="AD32" s="56"/>
      <c r="AE32" s="83" t="e">
        <f>ROUND(AB32*(HLOOKUP(AB$7,$D$9:$G32,ROW()-8,0)+AE$8),0)+ROUND(AD32*AE$8,0)</f>
        <v>#N/A</v>
      </c>
      <c r="AF32" s="53"/>
      <c r="AG32" s="56"/>
      <c r="AH32" s="56"/>
      <c r="AI32" s="83" t="e">
        <f>ROUND(AF32*(HLOOKUP(AF$7,$D$9:$G32,ROW()-8,0)+AI$8),0)+ROUND(AH32*AI$8,0)</f>
        <v>#N/A</v>
      </c>
      <c r="AJ32" s="53"/>
      <c r="AK32" s="56"/>
      <c r="AL32" s="56"/>
      <c r="AM32" s="83" t="e">
        <f>ROUND(AJ32*(HLOOKUP(AJ$7,$D$9:$G32,ROW()-8,0)+AM$8),0)+ROUND(AL32*AM$8,0)</f>
        <v>#N/A</v>
      </c>
      <c r="AN32" s="53"/>
      <c r="AO32" s="56"/>
      <c r="AP32" s="56"/>
      <c r="AQ32" s="83" t="e">
        <f>ROUND(AN32*(HLOOKUP(AN$7,$D$9:$G32,ROW()-8,0)+AQ$8),0)+ROUND(AP32*AQ$8,0)</f>
        <v>#N/A</v>
      </c>
      <c r="AR32" s="53"/>
      <c r="AS32" s="56"/>
      <c r="AT32" s="56"/>
      <c r="AU32" s="83" t="e">
        <f>ROUND(AR32*(HLOOKUP(AR$7,$D$9:$G32,ROW()-8,0)+AU$8),0)+ROUND(AT32*AU$8,0)</f>
        <v>#N/A</v>
      </c>
      <c r="AV32" s="53"/>
      <c r="AW32" s="56"/>
      <c r="AX32" s="56"/>
      <c r="AY32" s="83" t="e">
        <f>ROUND(AV32*(HLOOKUP(AV$7,$D$9:$G32,ROW()-8,0)+AY$8),0)+ROUND(AX32*AY$8,0)</f>
        <v>#N/A</v>
      </c>
      <c r="AZ32" s="53"/>
      <c r="BA32" s="56"/>
      <c r="BB32" s="56"/>
      <c r="BC32" s="83" t="e">
        <f>ROUND(AZ32*(HLOOKUP(AZ$7,$D$9:$G32,ROW()-8,0)+BC$8),0)+ROUND(BB32*BC$8,0)</f>
        <v>#N/A</v>
      </c>
      <c r="BD32" s="53"/>
      <c r="BE32" s="56"/>
      <c r="BF32" s="56"/>
      <c r="BG32" s="83" t="e">
        <f>ROUND(BD32*(HLOOKUP(BD$7,$D$9:$G32,ROW()-8,0)+BG$8),0)+ROUND(BF32*BG$8,0)</f>
        <v>#N/A</v>
      </c>
      <c r="BH32" s="53"/>
      <c r="BI32" s="56"/>
      <c r="BJ32" s="56"/>
      <c r="BK32" s="83" t="e">
        <f>ROUND(BH32*(HLOOKUP(BH$7,$D$9:$G32,ROW()-8,0)+BK$8),0)+ROUND(BJ32*BK$8,0)</f>
        <v>#N/A</v>
      </c>
      <c r="BL32" s="53"/>
      <c r="BM32" s="56"/>
      <c r="BN32" s="56"/>
      <c r="BO32" s="83" t="e">
        <f>ROUND(BL32*(HLOOKUP(BL$7,$D$9:$G32,ROW()-8,0)+BO$8),0)+ROUND(BN32*BO$8,0)</f>
        <v>#N/A</v>
      </c>
      <c r="BP32" s="53"/>
      <c r="BQ32" s="56"/>
      <c r="BR32" s="56"/>
      <c r="BS32" s="83" t="e">
        <f>ROUND(BP32*(HLOOKUP(BP$7,$D$9:$G32,ROW()-8,0)+BS$8),0)+ROUND(BR32*BS$8,0)</f>
        <v>#N/A</v>
      </c>
      <c r="BT32" s="54">
        <f t="shared" si="2"/>
        <v>0</v>
      </c>
      <c r="BU32" s="54">
        <f t="shared" si="2"/>
        <v>0</v>
      </c>
      <c r="BV32" s="54">
        <f t="shared" si="2"/>
        <v>0</v>
      </c>
      <c r="BW32" s="54">
        <f t="shared" si="2"/>
        <v>0</v>
      </c>
      <c r="BX32" s="63"/>
      <c r="BY32" s="107"/>
      <c r="BZ32" s="57" t="e">
        <f t="shared" si="1"/>
        <v>#DIV/0!</v>
      </c>
    </row>
    <row r="33" spans="3:78" ht="17.25">
      <c r="C33" s="64"/>
      <c r="D33" s="105"/>
      <c r="E33" s="106"/>
      <c r="F33" s="106"/>
      <c r="G33" s="110"/>
      <c r="H33" s="95"/>
      <c r="I33" s="56"/>
      <c r="J33" s="56"/>
      <c r="K33" s="83" t="e">
        <f>ROUND(H33*(HLOOKUP(H$7,$D$9:$G33,ROW()-8,0)+K$8),0)+ROUND(J33*K$8,0)</f>
        <v>#N/A</v>
      </c>
      <c r="L33" s="53"/>
      <c r="M33" s="56"/>
      <c r="N33" s="56"/>
      <c r="O33" s="83" t="e">
        <f>ROUND(L33*(HLOOKUP(L$7,$D$9:$G33,ROW()-8,0)+O$8),0)+ROUND(N33*O$8,0)</f>
        <v>#N/A</v>
      </c>
      <c r="P33" s="53"/>
      <c r="Q33" s="56"/>
      <c r="R33" s="56"/>
      <c r="S33" s="83" t="e">
        <f>ROUND(P33*(HLOOKUP(P$7,$D$9:$G33,ROW()-8,0)+S$8),0)+ROUND(R33*S$8,0)</f>
        <v>#N/A</v>
      </c>
      <c r="T33" s="53"/>
      <c r="U33" s="56"/>
      <c r="V33" s="56"/>
      <c r="W33" s="83" t="e">
        <f>ROUND(T33*(HLOOKUP(T$7,$D$9:$G33,ROW()-8,0)+W$8),0)+ROUND(V33*W$8,0)</f>
        <v>#N/A</v>
      </c>
      <c r="X33" s="53"/>
      <c r="Y33" s="56"/>
      <c r="Z33" s="56"/>
      <c r="AA33" s="83" t="e">
        <f>ROUND(X33*(HLOOKUP(X$7,$D$9:$G33,ROW()-8,0)+AA$8),0)+ROUND(Z33*AA$8,0)</f>
        <v>#N/A</v>
      </c>
      <c r="AB33" s="53"/>
      <c r="AC33" s="56"/>
      <c r="AD33" s="56"/>
      <c r="AE33" s="83" t="e">
        <f>ROUND(AB33*(HLOOKUP(AB$7,$D$9:$G33,ROW()-8,0)+AE$8),0)+ROUND(AD33*AE$8,0)</f>
        <v>#N/A</v>
      </c>
      <c r="AF33" s="53"/>
      <c r="AG33" s="56"/>
      <c r="AH33" s="56"/>
      <c r="AI33" s="83" t="e">
        <f>ROUND(AF33*(HLOOKUP(AF$7,$D$9:$G33,ROW()-8,0)+AI$8),0)+ROUND(AH33*AI$8,0)</f>
        <v>#N/A</v>
      </c>
      <c r="AJ33" s="53"/>
      <c r="AK33" s="56"/>
      <c r="AL33" s="56"/>
      <c r="AM33" s="83" t="e">
        <f>ROUND(AJ33*(HLOOKUP(AJ$7,$D$9:$G33,ROW()-8,0)+AM$8),0)+ROUND(AL33*AM$8,0)</f>
        <v>#N/A</v>
      </c>
      <c r="AN33" s="53"/>
      <c r="AO33" s="56"/>
      <c r="AP33" s="56"/>
      <c r="AQ33" s="83" t="e">
        <f>ROUND(AN33*(HLOOKUP(AN$7,$D$9:$G33,ROW()-8,0)+AQ$8),0)+ROUND(AP33*AQ$8,0)</f>
        <v>#N/A</v>
      </c>
      <c r="AR33" s="53"/>
      <c r="AS33" s="56"/>
      <c r="AT33" s="56"/>
      <c r="AU33" s="83" t="e">
        <f>ROUND(AR33*(HLOOKUP(AR$7,$D$9:$G33,ROW()-8,0)+AU$8),0)+ROUND(AT33*AU$8,0)</f>
        <v>#N/A</v>
      </c>
      <c r="AV33" s="53"/>
      <c r="AW33" s="56"/>
      <c r="AX33" s="56"/>
      <c r="AY33" s="83" t="e">
        <f>ROUND(AV33*(HLOOKUP(AV$7,$D$9:$G33,ROW()-8,0)+AY$8),0)+ROUND(AX33*AY$8,0)</f>
        <v>#N/A</v>
      </c>
      <c r="AZ33" s="53"/>
      <c r="BA33" s="56"/>
      <c r="BB33" s="56"/>
      <c r="BC33" s="83" t="e">
        <f>ROUND(AZ33*(HLOOKUP(AZ$7,$D$9:$G33,ROW()-8,0)+BC$8),0)+ROUND(BB33*BC$8,0)</f>
        <v>#N/A</v>
      </c>
      <c r="BD33" s="53"/>
      <c r="BE33" s="56"/>
      <c r="BF33" s="56"/>
      <c r="BG33" s="83" t="e">
        <f>ROUND(BD33*(HLOOKUP(BD$7,$D$9:$G33,ROW()-8,0)+BG$8),0)+ROUND(BF33*BG$8,0)</f>
        <v>#N/A</v>
      </c>
      <c r="BH33" s="53"/>
      <c r="BI33" s="56"/>
      <c r="BJ33" s="56"/>
      <c r="BK33" s="83" t="e">
        <f>ROUND(BH33*(HLOOKUP(BH$7,$D$9:$G33,ROW()-8,0)+BK$8),0)+ROUND(BJ33*BK$8,0)</f>
        <v>#N/A</v>
      </c>
      <c r="BL33" s="53"/>
      <c r="BM33" s="56"/>
      <c r="BN33" s="56"/>
      <c r="BO33" s="83" t="e">
        <f>ROUND(BL33*(HLOOKUP(BL$7,$D$9:$G33,ROW()-8,0)+BO$8),0)+ROUND(BN33*BO$8,0)</f>
        <v>#N/A</v>
      </c>
      <c r="BP33" s="53"/>
      <c r="BQ33" s="56"/>
      <c r="BR33" s="56"/>
      <c r="BS33" s="83" t="e">
        <f>ROUND(BP33*(HLOOKUP(BP$7,$D$9:$G33,ROW()-8,0)+BS$8),0)+ROUND(BR33*BS$8,0)</f>
        <v>#N/A</v>
      </c>
      <c r="BT33" s="54">
        <f t="shared" si="2"/>
        <v>0</v>
      </c>
      <c r="BU33" s="54">
        <f t="shared" si="2"/>
        <v>0</v>
      </c>
      <c r="BV33" s="54">
        <f t="shared" si="2"/>
        <v>0</v>
      </c>
      <c r="BW33" s="54">
        <f t="shared" si="2"/>
        <v>0</v>
      </c>
      <c r="BX33" s="63"/>
      <c r="BY33" s="107"/>
      <c r="BZ33" s="57" t="e">
        <f t="shared" si="1"/>
        <v>#DIV/0!</v>
      </c>
    </row>
    <row r="34" spans="3:78" ht="17.25">
      <c r="C34" s="64"/>
      <c r="D34" s="105"/>
      <c r="E34" s="106"/>
      <c r="F34" s="106"/>
      <c r="G34" s="110"/>
      <c r="H34" s="95"/>
      <c r="I34" s="56"/>
      <c r="J34" s="56"/>
      <c r="K34" s="83" t="e">
        <f>ROUND(H34*(HLOOKUP(H$7,$D$9:$G34,ROW()-8,0)+K$8),0)+ROUND(J34*K$8,0)</f>
        <v>#N/A</v>
      </c>
      <c r="L34" s="53"/>
      <c r="M34" s="56"/>
      <c r="N34" s="56"/>
      <c r="O34" s="83" t="e">
        <f>ROUND(L34*(HLOOKUP(L$7,$D$9:$G34,ROW()-8,0)+O$8),0)+ROUND(N34*O$8,0)</f>
        <v>#N/A</v>
      </c>
      <c r="P34" s="53"/>
      <c r="Q34" s="56"/>
      <c r="R34" s="56"/>
      <c r="S34" s="83" t="e">
        <f>ROUND(P34*(HLOOKUP(P$7,$D$9:$G34,ROW()-8,0)+S$8),0)+ROUND(R34*S$8,0)</f>
        <v>#N/A</v>
      </c>
      <c r="T34" s="53"/>
      <c r="U34" s="56"/>
      <c r="V34" s="56"/>
      <c r="W34" s="83" t="e">
        <f>ROUND(T34*(HLOOKUP(T$7,$D$9:$G34,ROW()-8,0)+W$8),0)+ROUND(V34*W$8,0)</f>
        <v>#N/A</v>
      </c>
      <c r="X34" s="53"/>
      <c r="Y34" s="56"/>
      <c r="Z34" s="56"/>
      <c r="AA34" s="83" t="e">
        <f>ROUND(X34*(HLOOKUP(X$7,$D$9:$G34,ROW()-8,0)+AA$8),0)+ROUND(Z34*AA$8,0)</f>
        <v>#N/A</v>
      </c>
      <c r="AB34" s="53"/>
      <c r="AC34" s="56"/>
      <c r="AD34" s="56"/>
      <c r="AE34" s="83" t="e">
        <f>ROUND(AB34*(HLOOKUP(AB$7,$D$9:$G34,ROW()-8,0)+AE$8),0)+ROUND(AD34*AE$8,0)</f>
        <v>#N/A</v>
      </c>
      <c r="AF34" s="53"/>
      <c r="AG34" s="56"/>
      <c r="AH34" s="56"/>
      <c r="AI34" s="83" t="e">
        <f>ROUND(AF34*(HLOOKUP(AF$7,$D$9:$G34,ROW()-8,0)+AI$8),0)+ROUND(AH34*AI$8,0)</f>
        <v>#N/A</v>
      </c>
      <c r="AJ34" s="53"/>
      <c r="AK34" s="56"/>
      <c r="AL34" s="56"/>
      <c r="AM34" s="83" t="e">
        <f>ROUND(AJ34*(HLOOKUP(AJ$7,$D$9:$G34,ROW()-8,0)+AM$8),0)+ROUND(AL34*AM$8,0)</f>
        <v>#N/A</v>
      </c>
      <c r="AN34" s="53"/>
      <c r="AO34" s="56"/>
      <c r="AP34" s="56"/>
      <c r="AQ34" s="83" t="e">
        <f>ROUND(AN34*(HLOOKUP(AN$7,$D$9:$G34,ROW()-8,0)+AQ$8),0)+ROUND(AP34*AQ$8,0)</f>
        <v>#N/A</v>
      </c>
      <c r="AR34" s="53"/>
      <c r="AS34" s="56"/>
      <c r="AT34" s="56"/>
      <c r="AU34" s="83" t="e">
        <f>ROUND(AR34*(HLOOKUP(AR$7,$D$9:$G34,ROW()-8,0)+AU$8),0)+ROUND(AT34*AU$8,0)</f>
        <v>#N/A</v>
      </c>
      <c r="AV34" s="53"/>
      <c r="AW34" s="56"/>
      <c r="AX34" s="56"/>
      <c r="AY34" s="83" t="e">
        <f>ROUND(AV34*(HLOOKUP(AV$7,$D$9:$G34,ROW()-8,0)+AY$8),0)+ROUND(AX34*AY$8,0)</f>
        <v>#N/A</v>
      </c>
      <c r="AZ34" s="53"/>
      <c r="BA34" s="56"/>
      <c r="BB34" s="56"/>
      <c r="BC34" s="83" t="e">
        <f>ROUND(AZ34*(HLOOKUP(AZ$7,$D$9:$G34,ROW()-8,0)+BC$8),0)+ROUND(BB34*BC$8,0)</f>
        <v>#N/A</v>
      </c>
      <c r="BD34" s="53"/>
      <c r="BE34" s="56"/>
      <c r="BF34" s="56"/>
      <c r="BG34" s="83" t="e">
        <f>ROUND(BD34*(HLOOKUP(BD$7,$D$9:$G34,ROW()-8,0)+BG$8),0)+ROUND(BF34*BG$8,0)</f>
        <v>#N/A</v>
      </c>
      <c r="BH34" s="53"/>
      <c r="BI34" s="56"/>
      <c r="BJ34" s="56"/>
      <c r="BK34" s="83" t="e">
        <f>ROUND(BH34*(HLOOKUP(BH$7,$D$9:$G34,ROW()-8,0)+BK$8),0)+ROUND(BJ34*BK$8,0)</f>
        <v>#N/A</v>
      </c>
      <c r="BL34" s="53"/>
      <c r="BM34" s="56"/>
      <c r="BN34" s="56"/>
      <c r="BO34" s="83" t="e">
        <f>ROUND(BL34*(HLOOKUP(BL$7,$D$9:$G34,ROW()-8,0)+BO$8),0)+ROUND(BN34*BO$8,0)</f>
        <v>#N/A</v>
      </c>
      <c r="BP34" s="53"/>
      <c r="BQ34" s="56"/>
      <c r="BR34" s="56"/>
      <c r="BS34" s="83" t="e">
        <f>ROUND(BP34*(HLOOKUP(BP$7,$D$9:$G34,ROW()-8,0)+BS$8),0)+ROUND(BR34*BS$8,0)</f>
        <v>#N/A</v>
      </c>
      <c r="BT34" s="54">
        <f t="shared" si="2"/>
        <v>0</v>
      </c>
      <c r="BU34" s="54">
        <f t="shared" si="2"/>
        <v>0</v>
      </c>
      <c r="BV34" s="54">
        <f t="shared" si="2"/>
        <v>0</v>
      </c>
      <c r="BW34" s="54">
        <f t="shared" si="2"/>
        <v>0</v>
      </c>
      <c r="BX34" s="63"/>
      <c r="BY34" s="107"/>
      <c r="BZ34" s="57" t="e">
        <f t="shared" si="1"/>
        <v>#DIV/0!</v>
      </c>
    </row>
    <row r="35" spans="3:78" ht="17.25">
      <c r="C35" s="64"/>
      <c r="D35" s="105"/>
      <c r="E35" s="106"/>
      <c r="F35" s="106"/>
      <c r="G35" s="110"/>
      <c r="H35" s="95"/>
      <c r="I35" s="56"/>
      <c r="J35" s="56"/>
      <c r="K35" s="83" t="e">
        <f>ROUND(H35*(HLOOKUP(H$7,$D$9:$G35,ROW()-8,0)+K$8),0)+ROUND(J35*K$8,0)</f>
        <v>#N/A</v>
      </c>
      <c r="L35" s="53"/>
      <c r="M35" s="56"/>
      <c r="N35" s="56"/>
      <c r="O35" s="83" t="e">
        <f>ROUND(L35*(HLOOKUP(L$7,$D$9:$G35,ROW()-8,0)+O$8),0)+ROUND(N35*O$8,0)</f>
        <v>#N/A</v>
      </c>
      <c r="P35" s="53"/>
      <c r="Q35" s="56"/>
      <c r="R35" s="56"/>
      <c r="S35" s="83" t="e">
        <f>ROUND(P35*(HLOOKUP(P$7,$D$9:$G35,ROW()-8,0)+S$8),0)+ROUND(R35*S$8,0)</f>
        <v>#N/A</v>
      </c>
      <c r="T35" s="53"/>
      <c r="U35" s="56"/>
      <c r="V35" s="56"/>
      <c r="W35" s="83" t="e">
        <f>ROUND(T35*(HLOOKUP(T$7,$D$9:$G35,ROW()-8,0)+W$8),0)+ROUND(V35*W$8,0)</f>
        <v>#N/A</v>
      </c>
      <c r="X35" s="53"/>
      <c r="Y35" s="56"/>
      <c r="Z35" s="56"/>
      <c r="AA35" s="83" t="e">
        <f>ROUND(X35*(HLOOKUP(X$7,$D$9:$G35,ROW()-8,0)+AA$8),0)+ROUND(Z35*AA$8,0)</f>
        <v>#N/A</v>
      </c>
      <c r="AB35" s="53"/>
      <c r="AC35" s="56"/>
      <c r="AD35" s="56"/>
      <c r="AE35" s="83" t="e">
        <f>ROUND(AB35*(HLOOKUP(AB$7,$D$9:$G35,ROW()-8,0)+AE$8),0)+ROUND(AD35*AE$8,0)</f>
        <v>#N/A</v>
      </c>
      <c r="AF35" s="53"/>
      <c r="AG35" s="56"/>
      <c r="AH35" s="56"/>
      <c r="AI35" s="83" t="e">
        <f>ROUND(AF35*(HLOOKUP(AF$7,$D$9:$G35,ROW()-8,0)+AI$8),0)+ROUND(AH35*AI$8,0)</f>
        <v>#N/A</v>
      </c>
      <c r="AJ35" s="53"/>
      <c r="AK35" s="56"/>
      <c r="AL35" s="56"/>
      <c r="AM35" s="83" t="e">
        <f>ROUND(AJ35*(HLOOKUP(AJ$7,$D$9:$G35,ROW()-8,0)+AM$8),0)+ROUND(AL35*AM$8,0)</f>
        <v>#N/A</v>
      </c>
      <c r="AN35" s="53"/>
      <c r="AO35" s="56"/>
      <c r="AP35" s="56"/>
      <c r="AQ35" s="83" t="e">
        <f>ROUND(AN35*(HLOOKUP(AN$7,$D$9:$G35,ROW()-8,0)+AQ$8),0)+ROUND(AP35*AQ$8,0)</f>
        <v>#N/A</v>
      </c>
      <c r="AR35" s="53"/>
      <c r="AS35" s="56"/>
      <c r="AT35" s="56"/>
      <c r="AU35" s="83" t="e">
        <f>ROUND(AR35*(HLOOKUP(AR$7,$D$9:$G35,ROW()-8,0)+AU$8),0)+ROUND(AT35*AU$8,0)</f>
        <v>#N/A</v>
      </c>
      <c r="AV35" s="53"/>
      <c r="AW35" s="56"/>
      <c r="AX35" s="56"/>
      <c r="AY35" s="83" t="e">
        <f>ROUND(AV35*(HLOOKUP(AV$7,$D$9:$G35,ROW()-8,0)+AY$8),0)+ROUND(AX35*AY$8,0)</f>
        <v>#N/A</v>
      </c>
      <c r="AZ35" s="53"/>
      <c r="BA35" s="56"/>
      <c r="BB35" s="56"/>
      <c r="BC35" s="83" t="e">
        <f>ROUND(AZ35*(HLOOKUP(AZ$7,$D$9:$G35,ROW()-8,0)+BC$8),0)+ROUND(BB35*BC$8,0)</f>
        <v>#N/A</v>
      </c>
      <c r="BD35" s="53"/>
      <c r="BE35" s="56"/>
      <c r="BF35" s="56"/>
      <c r="BG35" s="83" t="e">
        <f>ROUND(BD35*(HLOOKUP(BD$7,$D$9:$G35,ROW()-8,0)+BG$8),0)+ROUND(BF35*BG$8,0)</f>
        <v>#N/A</v>
      </c>
      <c r="BH35" s="53"/>
      <c r="BI35" s="56"/>
      <c r="BJ35" s="56"/>
      <c r="BK35" s="83" t="e">
        <f>ROUND(BH35*(HLOOKUP(BH$7,$D$9:$G35,ROW()-8,0)+BK$8),0)+ROUND(BJ35*BK$8,0)</f>
        <v>#N/A</v>
      </c>
      <c r="BL35" s="53"/>
      <c r="BM35" s="56"/>
      <c r="BN35" s="56"/>
      <c r="BO35" s="83" t="e">
        <f>ROUND(BL35*(HLOOKUP(BL$7,$D$9:$G35,ROW()-8,0)+BO$8),0)+ROUND(BN35*BO$8,0)</f>
        <v>#N/A</v>
      </c>
      <c r="BP35" s="53"/>
      <c r="BQ35" s="56"/>
      <c r="BR35" s="56"/>
      <c r="BS35" s="83" t="e">
        <f>ROUND(BP35*(HLOOKUP(BP$7,$D$9:$G35,ROW()-8,0)+BS$8),0)+ROUND(BR35*BS$8,0)</f>
        <v>#N/A</v>
      </c>
      <c r="BT35" s="54">
        <f t="shared" si="2"/>
        <v>0</v>
      </c>
      <c r="BU35" s="54">
        <f t="shared" si="2"/>
        <v>0</v>
      </c>
      <c r="BV35" s="54">
        <f t="shared" si="2"/>
        <v>0</v>
      </c>
      <c r="BW35" s="54">
        <f t="shared" si="2"/>
        <v>0</v>
      </c>
      <c r="BX35" s="63"/>
      <c r="BY35" s="107"/>
      <c r="BZ35" s="57" t="e">
        <f t="shared" si="1"/>
        <v>#DIV/0!</v>
      </c>
    </row>
    <row r="36" spans="3:78" ht="17.25">
      <c r="C36" s="64"/>
      <c r="D36" s="105"/>
      <c r="E36" s="106"/>
      <c r="F36" s="106"/>
      <c r="G36" s="110"/>
      <c r="H36" s="95"/>
      <c r="I36" s="56"/>
      <c r="J36" s="56"/>
      <c r="K36" s="83" t="e">
        <f>ROUND(H36*(HLOOKUP(H$7,$D$9:$G36,ROW()-8,0)+K$8),0)+ROUND(J36*K$8,0)</f>
        <v>#N/A</v>
      </c>
      <c r="L36" s="53"/>
      <c r="M36" s="56"/>
      <c r="N36" s="56"/>
      <c r="O36" s="83" t="e">
        <f>ROUND(L36*(HLOOKUP(L$7,$D$9:$G36,ROW()-8,0)+O$8),0)+ROUND(N36*O$8,0)</f>
        <v>#N/A</v>
      </c>
      <c r="P36" s="53"/>
      <c r="Q36" s="56"/>
      <c r="R36" s="56"/>
      <c r="S36" s="83" t="e">
        <f>ROUND(P36*(HLOOKUP(P$7,$D$9:$G36,ROW()-8,0)+S$8),0)+ROUND(R36*S$8,0)</f>
        <v>#N/A</v>
      </c>
      <c r="T36" s="53"/>
      <c r="U36" s="56"/>
      <c r="V36" s="56"/>
      <c r="W36" s="83" t="e">
        <f>ROUND(T36*(HLOOKUP(T$7,$D$9:$G36,ROW()-8,0)+W$8),0)+ROUND(V36*W$8,0)</f>
        <v>#N/A</v>
      </c>
      <c r="X36" s="53"/>
      <c r="Y36" s="56"/>
      <c r="Z36" s="56"/>
      <c r="AA36" s="83" t="e">
        <f>ROUND(X36*(HLOOKUP(X$7,$D$9:$G36,ROW()-8,0)+AA$8),0)+ROUND(Z36*AA$8,0)</f>
        <v>#N/A</v>
      </c>
      <c r="AB36" s="53"/>
      <c r="AC36" s="56"/>
      <c r="AD36" s="56"/>
      <c r="AE36" s="83" t="e">
        <f>ROUND(AB36*(HLOOKUP(AB$7,$D$9:$G36,ROW()-8,0)+AE$8),0)+ROUND(AD36*AE$8,0)</f>
        <v>#N/A</v>
      </c>
      <c r="AF36" s="53"/>
      <c r="AG36" s="56"/>
      <c r="AH36" s="56"/>
      <c r="AI36" s="83" t="e">
        <f>ROUND(AF36*(HLOOKUP(AF$7,$D$9:$G36,ROW()-8,0)+AI$8),0)+ROUND(AH36*AI$8,0)</f>
        <v>#N/A</v>
      </c>
      <c r="AJ36" s="53"/>
      <c r="AK36" s="56"/>
      <c r="AL36" s="56"/>
      <c r="AM36" s="83" t="e">
        <f>ROUND(AJ36*(HLOOKUP(AJ$7,$D$9:$G36,ROW()-8,0)+AM$8),0)+ROUND(AL36*AM$8,0)</f>
        <v>#N/A</v>
      </c>
      <c r="AN36" s="53"/>
      <c r="AO36" s="56"/>
      <c r="AP36" s="56"/>
      <c r="AQ36" s="83" t="e">
        <f>ROUND(AN36*(HLOOKUP(AN$7,$D$9:$G36,ROW()-8,0)+AQ$8),0)+ROUND(AP36*AQ$8,0)</f>
        <v>#N/A</v>
      </c>
      <c r="AR36" s="53"/>
      <c r="AS36" s="56"/>
      <c r="AT36" s="56"/>
      <c r="AU36" s="83" t="e">
        <f>ROUND(AR36*(HLOOKUP(AR$7,$D$9:$G36,ROW()-8,0)+AU$8),0)+ROUND(AT36*AU$8,0)</f>
        <v>#N/A</v>
      </c>
      <c r="AV36" s="53"/>
      <c r="AW36" s="56"/>
      <c r="AX36" s="56"/>
      <c r="AY36" s="83" t="e">
        <f>ROUND(AV36*(HLOOKUP(AV$7,$D$9:$G36,ROW()-8,0)+AY$8),0)+ROUND(AX36*AY$8,0)</f>
        <v>#N/A</v>
      </c>
      <c r="AZ36" s="53"/>
      <c r="BA36" s="56"/>
      <c r="BB36" s="56"/>
      <c r="BC36" s="83" t="e">
        <f>ROUND(AZ36*(HLOOKUP(AZ$7,$D$9:$G36,ROW()-8,0)+BC$8),0)+ROUND(BB36*BC$8,0)</f>
        <v>#N/A</v>
      </c>
      <c r="BD36" s="53"/>
      <c r="BE36" s="56"/>
      <c r="BF36" s="56"/>
      <c r="BG36" s="83" t="e">
        <f>ROUND(BD36*(HLOOKUP(BD$7,$D$9:$G36,ROW()-8,0)+BG$8),0)+ROUND(BF36*BG$8,0)</f>
        <v>#N/A</v>
      </c>
      <c r="BH36" s="53"/>
      <c r="BI36" s="56"/>
      <c r="BJ36" s="56"/>
      <c r="BK36" s="83" t="e">
        <f>ROUND(BH36*(HLOOKUP(BH$7,$D$9:$G36,ROW()-8,0)+BK$8),0)+ROUND(BJ36*BK$8,0)</f>
        <v>#N/A</v>
      </c>
      <c r="BL36" s="53"/>
      <c r="BM36" s="56"/>
      <c r="BN36" s="56"/>
      <c r="BO36" s="83" t="e">
        <f>ROUND(BL36*(HLOOKUP(BL$7,$D$9:$G36,ROW()-8,0)+BO$8),0)+ROUND(BN36*BO$8,0)</f>
        <v>#N/A</v>
      </c>
      <c r="BP36" s="53"/>
      <c r="BQ36" s="56"/>
      <c r="BR36" s="56"/>
      <c r="BS36" s="83" t="e">
        <f>ROUND(BP36*(HLOOKUP(BP$7,$D$9:$G36,ROW()-8,0)+BS$8),0)+ROUND(BR36*BS$8,0)</f>
        <v>#N/A</v>
      </c>
      <c r="BT36" s="54">
        <f t="shared" si="2"/>
        <v>0</v>
      </c>
      <c r="BU36" s="54">
        <f t="shared" si="2"/>
        <v>0</v>
      </c>
      <c r="BV36" s="54">
        <f t="shared" si="2"/>
        <v>0</v>
      </c>
      <c r="BW36" s="54">
        <f t="shared" si="2"/>
        <v>0</v>
      </c>
      <c r="BX36" s="63"/>
      <c r="BY36" s="107"/>
      <c r="BZ36" s="57" t="e">
        <f t="shared" si="1"/>
        <v>#DIV/0!</v>
      </c>
    </row>
    <row r="37" spans="3:78" ht="17.25">
      <c r="C37" s="64"/>
      <c r="D37" s="105"/>
      <c r="E37" s="106"/>
      <c r="F37" s="106"/>
      <c r="G37" s="110"/>
      <c r="H37" s="95"/>
      <c r="I37" s="56"/>
      <c r="J37" s="56"/>
      <c r="K37" s="83" t="e">
        <f>ROUND(H37*(HLOOKUP(H$7,$D$9:$G37,ROW()-8,0)+K$8),0)+ROUND(J37*K$8,0)</f>
        <v>#N/A</v>
      </c>
      <c r="L37" s="53"/>
      <c r="M37" s="56"/>
      <c r="N37" s="56"/>
      <c r="O37" s="83" t="e">
        <f>ROUND(L37*(HLOOKUP(L$7,$D$9:$G37,ROW()-8,0)+O$8),0)+ROUND(N37*O$8,0)</f>
        <v>#N/A</v>
      </c>
      <c r="P37" s="53"/>
      <c r="Q37" s="56"/>
      <c r="R37" s="56"/>
      <c r="S37" s="83" t="e">
        <f>ROUND(P37*(HLOOKUP(P$7,$D$9:$G37,ROW()-8,0)+S$8),0)+ROUND(R37*S$8,0)</f>
        <v>#N/A</v>
      </c>
      <c r="T37" s="53"/>
      <c r="U37" s="56"/>
      <c r="V37" s="56"/>
      <c r="W37" s="83" t="e">
        <f>ROUND(T37*(HLOOKUP(T$7,$D$9:$G37,ROW()-8,0)+W$8),0)+ROUND(V37*W$8,0)</f>
        <v>#N/A</v>
      </c>
      <c r="X37" s="53"/>
      <c r="Y37" s="56"/>
      <c r="Z37" s="56"/>
      <c r="AA37" s="83" t="e">
        <f>ROUND(X37*(HLOOKUP(X$7,$D$9:$G37,ROW()-8,0)+AA$8),0)+ROUND(Z37*AA$8,0)</f>
        <v>#N/A</v>
      </c>
      <c r="AB37" s="53"/>
      <c r="AC37" s="56"/>
      <c r="AD37" s="56"/>
      <c r="AE37" s="83" t="e">
        <f>ROUND(AB37*(HLOOKUP(AB$7,$D$9:$G37,ROW()-8,0)+AE$8),0)+ROUND(AD37*AE$8,0)</f>
        <v>#N/A</v>
      </c>
      <c r="AF37" s="53"/>
      <c r="AG37" s="56"/>
      <c r="AH37" s="56"/>
      <c r="AI37" s="83" t="e">
        <f>ROUND(AF37*(HLOOKUP(AF$7,$D$9:$G37,ROW()-8,0)+AI$8),0)+ROUND(AH37*AI$8,0)</f>
        <v>#N/A</v>
      </c>
      <c r="AJ37" s="53"/>
      <c r="AK37" s="56"/>
      <c r="AL37" s="56"/>
      <c r="AM37" s="83" t="e">
        <f>ROUND(AJ37*(HLOOKUP(AJ$7,$D$9:$G37,ROW()-8,0)+AM$8),0)+ROUND(AL37*AM$8,0)</f>
        <v>#N/A</v>
      </c>
      <c r="AN37" s="53"/>
      <c r="AO37" s="56"/>
      <c r="AP37" s="56"/>
      <c r="AQ37" s="83" t="e">
        <f>ROUND(AN37*(HLOOKUP(AN$7,$D$9:$G37,ROW()-8,0)+AQ$8),0)+ROUND(AP37*AQ$8,0)</f>
        <v>#N/A</v>
      </c>
      <c r="AR37" s="53"/>
      <c r="AS37" s="56"/>
      <c r="AT37" s="56"/>
      <c r="AU37" s="83" t="e">
        <f>ROUND(AR37*(HLOOKUP(AR$7,$D$9:$G37,ROW()-8,0)+AU$8),0)+ROUND(AT37*AU$8,0)</f>
        <v>#N/A</v>
      </c>
      <c r="AV37" s="53"/>
      <c r="AW37" s="56"/>
      <c r="AX37" s="56"/>
      <c r="AY37" s="83" t="e">
        <f>ROUND(AV37*(HLOOKUP(AV$7,$D$9:$G37,ROW()-8,0)+AY$8),0)+ROUND(AX37*AY$8,0)</f>
        <v>#N/A</v>
      </c>
      <c r="AZ37" s="53"/>
      <c r="BA37" s="56"/>
      <c r="BB37" s="56"/>
      <c r="BC37" s="83" t="e">
        <f>ROUND(AZ37*(HLOOKUP(AZ$7,$D$9:$G37,ROW()-8,0)+BC$8),0)+ROUND(BB37*BC$8,0)</f>
        <v>#N/A</v>
      </c>
      <c r="BD37" s="53"/>
      <c r="BE37" s="56"/>
      <c r="BF37" s="56"/>
      <c r="BG37" s="83" t="e">
        <f>ROUND(BD37*(HLOOKUP(BD$7,$D$9:$G37,ROW()-8,0)+BG$8),0)+ROUND(BF37*BG$8,0)</f>
        <v>#N/A</v>
      </c>
      <c r="BH37" s="53"/>
      <c r="BI37" s="56"/>
      <c r="BJ37" s="56"/>
      <c r="BK37" s="83" t="e">
        <f>ROUND(BH37*(HLOOKUP(BH$7,$D$9:$G37,ROW()-8,0)+BK$8),0)+ROUND(BJ37*BK$8,0)</f>
        <v>#N/A</v>
      </c>
      <c r="BL37" s="53"/>
      <c r="BM37" s="56"/>
      <c r="BN37" s="56"/>
      <c r="BO37" s="83" t="e">
        <f>ROUND(BL37*(HLOOKUP(BL$7,$D$9:$G37,ROW()-8,0)+BO$8),0)+ROUND(BN37*BO$8,0)</f>
        <v>#N/A</v>
      </c>
      <c r="BP37" s="53"/>
      <c r="BQ37" s="56"/>
      <c r="BR37" s="56"/>
      <c r="BS37" s="83" t="e">
        <f>ROUND(BP37*(HLOOKUP(BP$7,$D$9:$G37,ROW()-8,0)+BS$8),0)+ROUND(BR37*BS$8,0)</f>
        <v>#N/A</v>
      </c>
      <c r="BT37" s="54">
        <f t="shared" si="2"/>
        <v>0</v>
      </c>
      <c r="BU37" s="54">
        <f t="shared" si="2"/>
        <v>0</v>
      </c>
      <c r="BV37" s="54">
        <f t="shared" si="2"/>
        <v>0</v>
      </c>
      <c r="BW37" s="54">
        <f t="shared" si="2"/>
        <v>0</v>
      </c>
      <c r="BX37" s="63"/>
      <c r="BY37" s="107"/>
      <c r="BZ37" s="57" t="e">
        <f t="shared" si="1"/>
        <v>#DIV/0!</v>
      </c>
    </row>
    <row r="38" spans="3:78" ht="17.25">
      <c r="C38" s="64"/>
      <c r="D38" s="105"/>
      <c r="E38" s="106"/>
      <c r="F38" s="106"/>
      <c r="G38" s="110"/>
      <c r="H38" s="95"/>
      <c r="I38" s="56"/>
      <c r="J38" s="56"/>
      <c r="K38" s="83" t="e">
        <f>ROUND(H38*(HLOOKUP(H$7,$D$9:$G38,ROW()-8,0)+K$8),0)+ROUND(J38*K$8,0)</f>
        <v>#N/A</v>
      </c>
      <c r="L38" s="53"/>
      <c r="M38" s="56"/>
      <c r="N38" s="56"/>
      <c r="O38" s="83" t="e">
        <f>ROUND(L38*(HLOOKUP(L$7,$D$9:$G38,ROW()-8,0)+O$8),0)+ROUND(N38*O$8,0)</f>
        <v>#N/A</v>
      </c>
      <c r="P38" s="53"/>
      <c r="Q38" s="56"/>
      <c r="R38" s="56"/>
      <c r="S38" s="83" t="e">
        <f>ROUND(P38*(HLOOKUP(P$7,$D$9:$G38,ROW()-8,0)+S$8),0)+ROUND(R38*S$8,0)</f>
        <v>#N/A</v>
      </c>
      <c r="T38" s="53"/>
      <c r="U38" s="56"/>
      <c r="V38" s="56"/>
      <c r="W38" s="83" t="e">
        <f>ROUND(T38*(HLOOKUP(T$7,$D$9:$G38,ROW()-8,0)+W$8),0)+ROUND(V38*W$8,0)</f>
        <v>#N/A</v>
      </c>
      <c r="X38" s="53"/>
      <c r="Y38" s="56"/>
      <c r="Z38" s="56"/>
      <c r="AA38" s="83" t="e">
        <f>ROUND(X38*(HLOOKUP(X$7,$D$9:$G38,ROW()-8,0)+AA$8),0)+ROUND(Z38*AA$8,0)</f>
        <v>#N/A</v>
      </c>
      <c r="AB38" s="53"/>
      <c r="AC38" s="56"/>
      <c r="AD38" s="56"/>
      <c r="AE38" s="83" t="e">
        <f>ROUND(AB38*(HLOOKUP(AB$7,$D$9:$G38,ROW()-8,0)+AE$8),0)+ROUND(AD38*AE$8,0)</f>
        <v>#N/A</v>
      </c>
      <c r="AF38" s="53"/>
      <c r="AG38" s="56"/>
      <c r="AH38" s="56"/>
      <c r="AI38" s="83" t="e">
        <f>ROUND(AF38*(HLOOKUP(AF$7,$D$9:$G38,ROW()-8,0)+AI$8),0)+ROUND(AH38*AI$8,0)</f>
        <v>#N/A</v>
      </c>
      <c r="AJ38" s="53"/>
      <c r="AK38" s="56"/>
      <c r="AL38" s="56"/>
      <c r="AM38" s="83" t="e">
        <f>ROUND(AJ38*(HLOOKUP(AJ$7,$D$9:$G38,ROW()-8,0)+AM$8),0)+ROUND(AL38*AM$8,0)</f>
        <v>#N/A</v>
      </c>
      <c r="AN38" s="53"/>
      <c r="AO38" s="56"/>
      <c r="AP38" s="56"/>
      <c r="AQ38" s="83" t="e">
        <f>ROUND(AN38*(HLOOKUP(AN$7,$D$9:$G38,ROW()-8,0)+AQ$8),0)+ROUND(AP38*AQ$8,0)</f>
        <v>#N/A</v>
      </c>
      <c r="AR38" s="53"/>
      <c r="AS38" s="56"/>
      <c r="AT38" s="56"/>
      <c r="AU38" s="83" t="e">
        <f>ROUND(AR38*(HLOOKUP(AR$7,$D$9:$G38,ROW()-8,0)+AU$8),0)+ROUND(AT38*AU$8,0)</f>
        <v>#N/A</v>
      </c>
      <c r="AV38" s="53"/>
      <c r="AW38" s="56"/>
      <c r="AX38" s="56"/>
      <c r="AY38" s="83" t="e">
        <f>ROUND(AV38*(HLOOKUP(AV$7,$D$9:$G38,ROW()-8,0)+AY$8),0)+ROUND(AX38*AY$8,0)</f>
        <v>#N/A</v>
      </c>
      <c r="AZ38" s="53"/>
      <c r="BA38" s="56"/>
      <c r="BB38" s="56"/>
      <c r="BC38" s="83" t="e">
        <f>ROUND(AZ38*(HLOOKUP(AZ$7,$D$9:$G38,ROW()-8,0)+BC$8),0)+ROUND(BB38*BC$8,0)</f>
        <v>#N/A</v>
      </c>
      <c r="BD38" s="53"/>
      <c r="BE38" s="56"/>
      <c r="BF38" s="56"/>
      <c r="BG38" s="83" t="e">
        <f>ROUND(BD38*(HLOOKUP(BD$7,$D$9:$G38,ROW()-8,0)+BG$8),0)+ROUND(BF38*BG$8,0)</f>
        <v>#N/A</v>
      </c>
      <c r="BH38" s="53"/>
      <c r="BI38" s="56"/>
      <c r="BJ38" s="56"/>
      <c r="BK38" s="83" t="e">
        <f>ROUND(BH38*(HLOOKUP(BH$7,$D$9:$G38,ROW()-8,0)+BK$8),0)+ROUND(BJ38*BK$8,0)</f>
        <v>#N/A</v>
      </c>
      <c r="BL38" s="53"/>
      <c r="BM38" s="56"/>
      <c r="BN38" s="56"/>
      <c r="BO38" s="83" t="e">
        <f>ROUND(BL38*(HLOOKUP(BL$7,$D$9:$G38,ROW()-8,0)+BO$8),0)+ROUND(BN38*BO$8,0)</f>
        <v>#N/A</v>
      </c>
      <c r="BP38" s="53"/>
      <c r="BQ38" s="56"/>
      <c r="BR38" s="56"/>
      <c r="BS38" s="83" t="e">
        <f>ROUND(BP38*(HLOOKUP(BP$7,$D$9:$G38,ROW()-8,0)+BS$8),0)+ROUND(BR38*BS$8,0)</f>
        <v>#N/A</v>
      </c>
      <c r="BT38" s="54">
        <f t="shared" si="2"/>
        <v>0</v>
      </c>
      <c r="BU38" s="54">
        <f t="shared" si="2"/>
        <v>0</v>
      </c>
      <c r="BV38" s="54">
        <f t="shared" si="2"/>
        <v>0</v>
      </c>
      <c r="BW38" s="54">
        <f t="shared" si="2"/>
        <v>0</v>
      </c>
      <c r="BX38" s="63"/>
      <c r="BY38" s="107"/>
      <c r="BZ38" s="57" t="e">
        <f t="shared" si="1"/>
        <v>#DIV/0!</v>
      </c>
    </row>
    <row r="39" spans="3:78" ht="17.25">
      <c r="C39" s="64"/>
      <c r="D39" s="105"/>
      <c r="E39" s="106"/>
      <c r="F39" s="106"/>
      <c r="G39" s="110"/>
      <c r="H39" s="95"/>
      <c r="I39" s="56"/>
      <c r="J39" s="56"/>
      <c r="K39" s="83" t="e">
        <f>ROUND(H39*(HLOOKUP(H$7,$D$9:$G39,ROW()-8,0)+K$8),0)+ROUND(J39*K$8,0)</f>
        <v>#N/A</v>
      </c>
      <c r="L39" s="53"/>
      <c r="M39" s="56"/>
      <c r="N39" s="56"/>
      <c r="O39" s="83" t="e">
        <f>ROUND(L39*(HLOOKUP(L$7,$D$9:$G39,ROW()-8,0)+O$8),0)+ROUND(N39*O$8,0)</f>
        <v>#N/A</v>
      </c>
      <c r="P39" s="53"/>
      <c r="Q39" s="56"/>
      <c r="R39" s="56"/>
      <c r="S39" s="83" t="e">
        <f>ROUND(P39*(HLOOKUP(P$7,$D$9:$G39,ROW()-8,0)+S$8),0)+ROUND(R39*S$8,0)</f>
        <v>#N/A</v>
      </c>
      <c r="T39" s="53"/>
      <c r="U39" s="56"/>
      <c r="V39" s="56"/>
      <c r="W39" s="83" t="e">
        <f>ROUND(T39*(HLOOKUP(T$7,$D$9:$G39,ROW()-8,0)+W$8),0)+ROUND(V39*W$8,0)</f>
        <v>#N/A</v>
      </c>
      <c r="X39" s="53"/>
      <c r="Y39" s="56"/>
      <c r="Z39" s="56"/>
      <c r="AA39" s="83" t="e">
        <f>ROUND(X39*(HLOOKUP(X$7,$D$9:$G39,ROW()-8,0)+AA$8),0)+ROUND(Z39*AA$8,0)</f>
        <v>#N/A</v>
      </c>
      <c r="AB39" s="53"/>
      <c r="AC39" s="56"/>
      <c r="AD39" s="56"/>
      <c r="AE39" s="83" t="e">
        <f>ROUND(AB39*(HLOOKUP(AB$7,$D$9:$G39,ROW()-8,0)+AE$8),0)+ROUND(AD39*AE$8,0)</f>
        <v>#N/A</v>
      </c>
      <c r="AF39" s="53"/>
      <c r="AG39" s="56"/>
      <c r="AH39" s="56"/>
      <c r="AI39" s="83" t="e">
        <f>ROUND(AF39*(HLOOKUP(AF$7,$D$9:$G39,ROW()-8,0)+AI$8),0)+ROUND(AH39*AI$8,0)</f>
        <v>#N/A</v>
      </c>
      <c r="AJ39" s="53"/>
      <c r="AK39" s="56"/>
      <c r="AL39" s="56"/>
      <c r="AM39" s="83" t="e">
        <f>ROUND(AJ39*(HLOOKUP(AJ$7,$D$9:$G39,ROW()-8,0)+AM$8),0)+ROUND(AL39*AM$8,0)</f>
        <v>#N/A</v>
      </c>
      <c r="AN39" s="53"/>
      <c r="AO39" s="56"/>
      <c r="AP39" s="56"/>
      <c r="AQ39" s="83" t="e">
        <f>ROUND(AN39*(HLOOKUP(AN$7,$D$9:$G39,ROW()-8,0)+AQ$8),0)+ROUND(AP39*AQ$8,0)</f>
        <v>#N/A</v>
      </c>
      <c r="AR39" s="53"/>
      <c r="AS39" s="56"/>
      <c r="AT39" s="56"/>
      <c r="AU39" s="83" t="e">
        <f>ROUND(AR39*(HLOOKUP(AR$7,$D$9:$G39,ROW()-8,0)+AU$8),0)+ROUND(AT39*AU$8,0)</f>
        <v>#N/A</v>
      </c>
      <c r="AV39" s="53"/>
      <c r="AW39" s="56"/>
      <c r="AX39" s="56"/>
      <c r="AY39" s="83" t="e">
        <f>ROUND(AV39*(HLOOKUP(AV$7,$D$9:$G39,ROW()-8,0)+AY$8),0)+ROUND(AX39*AY$8,0)</f>
        <v>#N/A</v>
      </c>
      <c r="AZ39" s="53"/>
      <c r="BA39" s="56"/>
      <c r="BB39" s="56"/>
      <c r="BC39" s="83" t="e">
        <f>ROUND(AZ39*(HLOOKUP(AZ$7,$D$9:$G39,ROW()-8,0)+BC$8),0)+ROUND(BB39*BC$8,0)</f>
        <v>#N/A</v>
      </c>
      <c r="BD39" s="53"/>
      <c r="BE39" s="56"/>
      <c r="BF39" s="56"/>
      <c r="BG39" s="83" t="e">
        <f>ROUND(BD39*(HLOOKUP(BD$7,$D$9:$G39,ROW()-8,0)+BG$8),0)+ROUND(BF39*BG$8,0)</f>
        <v>#N/A</v>
      </c>
      <c r="BH39" s="53"/>
      <c r="BI39" s="56"/>
      <c r="BJ39" s="56"/>
      <c r="BK39" s="83" t="e">
        <f>ROUND(BH39*(HLOOKUP(BH$7,$D$9:$G39,ROW()-8,0)+BK$8),0)+ROUND(BJ39*BK$8,0)</f>
        <v>#N/A</v>
      </c>
      <c r="BL39" s="53"/>
      <c r="BM39" s="56"/>
      <c r="BN39" s="56"/>
      <c r="BO39" s="83" t="e">
        <f>ROUND(BL39*(HLOOKUP(BL$7,$D$9:$G39,ROW()-8,0)+BO$8),0)+ROUND(BN39*BO$8,0)</f>
        <v>#N/A</v>
      </c>
      <c r="BP39" s="53"/>
      <c r="BQ39" s="56"/>
      <c r="BR39" s="56"/>
      <c r="BS39" s="83" t="e">
        <f>ROUND(BP39*(HLOOKUP(BP$7,$D$9:$G39,ROW()-8,0)+BS$8),0)+ROUND(BR39*BS$8,0)</f>
        <v>#N/A</v>
      </c>
      <c r="BT39" s="54">
        <f t="shared" si="2"/>
        <v>0</v>
      </c>
      <c r="BU39" s="54">
        <f t="shared" si="2"/>
        <v>0</v>
      </c>
      <c r="BV39" s="54">
        <f t="shared" si="2"/>
        <v>0</v>
      </c>
      <c r="BW39" s="54">
        <f t="shared" si="2"/>
        <v>0</v>
      </c>
      <c r="BX39" s="63"/>
      <c r="BY39" s="107"/>
      <c r="BZ39" s="57" t="e">
        <f t="shared" si="1"/>
        <v>#DIV/0!</v>
      </c>
    </row>
    <row r="40" spans="3:78" ht="17.25">
      <c r="C40" s="64"/>
      <c r="D40" s="105"/>
      <c r="E40" s="106"/>
      <c r="F40" s="106"/>
      <c r="G40" s="110"/>
      <c r="H40" s="95"/>
      <c r="I40" s="56"/>
      <c r="J40" s="56"/>
      <c r="K40" s="83" t="e">
        <f>ROUND(H40*(HLOOKUP(H$7,$D$9:$G40,ROW()-8,0)+K$8),0)+ROUND(J40*K$8,0)</f>
        <v>#N/A</v>
      </c>
      <c r="L40" s="53"/>
      <c r="M40" s="56"/>
      <c r="N40" s="56"/>
      <c r="O40" s="83" t="e">
        <f>ROUND(L40*(HLOOKUP(L$7,$D$9:$G40,ROW()-8,0)+O$8),0)+ROUND(N40*O$8,0)</f>
        <v>#N/A</v>
      </c>
      <c r="P40" s="53"/>
      <c r="Q40" s="56"/>
      <c r="R40" s="56"/>
      <c r="S40" s="83" t="e">
        <f>ROUND(P40*(HLOOKUP(P$7,$D$9:$G40,ROW()-8,0)+S$8),0)+ROUND(R40*S$8,0)</f>
        <v>#N/A</v>
      </c>
      <c r="T40" s="53"/>
      <c r="U40" s="56"/>
      <c r="V40" s="56"/>
      <c r="W40" s="83" t="e">
        <f>ROUND(T40*(HLOOKUP(T$7,$D$9:$G40,ROW()-8,0)+W$8),0)+ROUND(V40*W$8,0)</f>
        <v>#N/A</v>
      </c>
      <c r="X40" s="53"/>
      <c r="Y40" s="56"/>
      <c r="Z40" s="56"/>
      <c r="AA40" s="83" t="e">
        <f>ROUND(X40*(HLOOKUP(X$7,$D$9:$G40,ROW()-8,0)+AA$8),0)+ROUND(Z40*AA$8,0)</f>
        <v>#N/A</v>
      </c>
      <c r="AB40" s="53"/>
      <c r="AC40" s="56"/>
      <c r="AD40" s="56"/>
      <c r="AE40" s="83" t="e">
        <f>ROUND(AB40*(HLOOKUP(AB$7,$D$9:$G40,ROW()-8,0)+AE$8),0)+ROUND(AD40*AE$8,0)</f>
        <v>#N/A</v>
      </c>
      <c r="AF40" s="53"/>
      <c r="AG40" s="56"/>
      <c r="AH40" s="56"/>
      <c r="AI40" s="83" t="e">
        <f>ROUND(AF40*(HLOOKUP(AF$7,$D$9:$G40,ROW()-8,0)+AI$8),0)+ROUND(AH40*AI$8,0)</f>
        <v>#N/A</v>
      </c>
      <c r="AJ40" s="53"/>
      <c r="AK40" s="56"/>
      <c r="AL40" s="56"/>
      <c r="AM40" s="83" t="e">
        <f>ROUND(AJ40*(HLOOKUP(AJ$7,$D$9:$G40,ROW()-8,0)+AM$8),0)+ROUND(AL40*AM$8,0)</f>
        <v>#N/A</v>
      </c>
      <c r="AN40" s="53"/>
      <c r="AO40" s="56"/>
      <c r="AP40" s="56"/>
      <c r="AQ40" s="83" t="e">
        <f>ROUND(AN40*(HLOOKUP(AN$7,$D$9:$G40,ROW()-8,0)+AQ$8),0)+ROUND(AP40*AQ$8,0)</f>
        <v>#N/A</v>
      </c>
      <c r="AR40" s="53"/>
      <c r="AS40" s="56"/>
      <c r="AT40" s="56"/>
      <c r="AU40" s="83" t="e">
        <f>ROUND(AR40*(HLOOKUP(AR$7,$D$9:$G40,ROW()-8,0)+AU$8),0)+ROUND(AT40*AU$8,0)</f>
        <v>#N/A</v>
      </c>
      <c r="AV40" s="53"/>
      <c r="AW40" s="56"/>
      <c r="AX40" s="56"/>
      <c r="AY40" s="83" t="e">
        <f>ROUND(AV40*(HLOOKUP(AV$7,$D$9:$G40,ROW()-8,0)+AY$8),0)+ROUND(AX40*AY$8,0)</f>
        <v>#N/A</v>
      </c>
      <c r="AZ40" s="53"/>
      <c r="BA40" s="56"/>
      <c r="BB40" s="56"/>
      <c r="BC40" s="83" t="e">
        <f>ROUND(AZ40*(HLOOKUP(AZ$7,$D$9:$G40,ROW()-8,0)+BC$8),0)+ROUND(BB40*BC$8,0)</f>
        <v>#N/A</v>
      </c>
      <c r="BD40" s="53"/>
      <c r="BE40" s="56"/>
      <c r="BF40" s="56"/>
      <c r="BG40" s="83" t="e">
        <f>ROUND(BD40*(HLOOKUP(BD$7,$D$9:$G40,ROW()-8,0)+BG$8),0)+ROUND(BF40*BG$8,0)</f>
        <v>#N/A</v>
      </c>
      <c r="BH40" s="53"/>
      <c r="BI40" s="56"/>
      <c r="BJ40" s="56"/>
      <c r="BK40" s="83" t="e">
        <f>ROUND(BH40*(HLOOKUP(BH$7,$D$9:$G40,ROW()-8,0)+BK$8),0)+ROUND(BJ40*BK$8,0)</f>
        <v>#N/A</v>
      </c>
      <c r="BL40" s="53"/>
      <c r="BM40" s="56"/>
      <c r="BN40" s="56"/>
      <c r="BO40" s="83" t="e">
        <f>ROUND(BL40*(HLOOKUP(BL$7,$D$9:$G40,ROW()-8,0)+BO$8),0)+ROUND(BN40*BO$8,0)</f>
        <v>#N/A</v>
      </c>
      <c r="BP40" s="53"/>
      <c r="BQ40" s="56"/>
      <c r="BR40" s="56"/>
      <c r="BS40" s="83" t="e">
        <f>ROUND(BP40*(HLOOKUP(BP$7,$D$9:$G40,ROW()-8,0)+BS$8),0)+ROUND(BR40*BS$8,0)</f>
        <v>#N/A</v>
      </c>
      <c r="BT40" s="54">
        <f t="shared" si="2"/>
        <v>0</v>
      </c>
      <c r="BU40" s="54">
        <f t="shared" si="2"/>
        <v>0</v>
      </c>
      <c r="BV40" s="54">
        <f t="shared" si="2"/>
        <v>0</v>
      </c>
      <c r="BW40" s="54">
        <f t="shared" si="2"/>
        <v>0</v>
      </c>
      <c r="BX40" s="63"/>
      <c r="BY40" s="107"/>
      <c r="BZ40" s="57" t="e">
        <f t="shared" si="1"/>
        <v>#DIV/0!</v>
      </c>
    </row>
    <row r="41" spans="3:78" ht="17.25">
      <c r="C41" s="64"/>
      <c r="D41" s="105"/>
      <c r="E41" s="106"/>
      <c r="F41" s="106"/>
      <c r="G41" s="110"/>
      <c r="H41" s="95"/>
      <c r="I41" s="56"/>
      <c r="J41" s="56"/>
      <c r="K41" s="83" t="e">
        <f>ROUND(H41*(HLOOKUP(H$7,$D$9:$G41,ROW()-8,0)+K$8),0)+ROUND(J41*K$8,0)</f>
        <v>#N/A</v>
      </c>
      <c r="L41" s="53"/>
      <c r="M41" s="56"/>
      <c r="N41" s="56"/>
      <c r="O41" s="83" t="e">
        <f>ROUND(L41*(HLOOKUP(L$7,$D$9:$G41,ROW()-8,0)+O$8),0)+ROUND(N41*O$8,0)</f>
        <v>#N/A</v>
      </c>
      <c r="P41" s="53"/>
      <c r="Q41" s="56"/>
      <c r="R41" s="56"/>
      <c r="S41" s="83" t="e">
        <f>ROUND(P41*(HLOOKUP(P$7,$D$9:$G41,ROW()-8,0)+S$8),0)+ROUND(R41*S$8,0)</f>
        <v>#N/A</v>
      </c>
      <c r="T41" s="53"/>
      <c r="U41" s="56"/>
      <c r="V41" s="56"/>
      <c r="W41" s="83" t="e">
        <f>ROUND(T41*(HLOOKUP(T$7,$D$9:$G41,ROW()-8,0)+W$8),0)+ROUND(V41*W$8,0)</f>
        <v>#N/A</v>
      </c>
      <c r="X41" s="53"/>
      <c r="Y41" s="56"/>
      <c r="Z41" s="56"/>
      <c r="AA41" s="83" t="e">
        <f>ROUND(X41*(HLOOKUP(X$7,$D$9:$G41,ROW()-8,0)+AA$8),0)+ROUND(Z41*AA$8,0)</f>
        <v>#N/A</v>
      </c>
      <c r="AB41" s="53"/>
      <c r="AC41" s="56"/>
      <c r="AD41" s="56"/>
      <c r="AE41" s="83" t="e">
        <f>ROUND(AB41*(HLOOKUP(AB$7,$D$9:$G41,ROW()-8,0)+AE$8),0)+ROUND(AD41*AE$8,0)</f>
        <v>#N/A</v>
      </c>
      <c r="AF41" s="53"/>
      <c r="AG41" s="56"/>
      <c r="AH41" s="56"/>
      <c r="AI41" s="83" t="e">
        <f>ROUND(AF41*(HLOOKUP(AF$7,$D$9:$G41,ROW()-8,0)+AI$8),0)+ROUND(AH41*AI$8,0)</f>
        <v>#N/A</v>
      </c>
      <c r="AJ41" s="53"/>
      <c r="AK41" s="56"/>
      <c r="AL41" s="56"/>
      <c r="AM41" s="83" t="e">
        <f>ROUND(AJ41*(HLOOKUP(AJ$7,$D$9:$G41,ROW()-8,0)+AM$8),0)+ROUND(AL41*AM$8,0)</f>
        <v>#N/A</v>
      </c>
      <c r="AN41" s="53"/>
      <c r="AO41" s="56"/>
      <c r="AP41" s="56"/>
      <c r="AQ41" s="83" t="e">
        <f>ROUND(AN41*(HLOOKUP(AN$7,$D$9:$G41,ROW()-8,0)+AQ$8),0)+ROUND(AP41*AQ$8,0)</f>
        <v>#N/A</v>
      </c>
      <c r="AR41" s="53"/>
      <c r="AS41" s="56"/>
      <c r="AT41" s="56"/>
      <c r="AU41" s="83" t="e">
        <f>ROUND(AR41*(HLOOKUP(AR$7,$D$9:$G41,ROW()-8,0)+AU$8),0)+ROUND(AT41*AU$8,0)</f>
        <v>#N/A</v>
      </c>
      <c r="AV41" s="53"/>
      <c r="AW41" s="56"/>
      <c r="AX41" s="56"/>
      <c r="AY41" s="83" t="e">
        <f>ROUND(AV41*(HLOOKUP(AV$7,$D$9:$G41,ROW()-8,0)+AY$8),0)+ROUND(AX41*AY$8,0)</f>
        <v>#N/A</v>
      </c>
      <c r="AZ41" s="53"/>
      <c r="BA41" s="56"/>
      <c r="BB41" s="56"/>
      <c r="BC41" s="83" t="e">
        <f>ROUND(AZ41*(HLOOKUP(AZ$7,$D$9:$G41,ROW()-8,0)+BC$8),0)+ROUND(BB41*BC$8,0)</f>
        <v>#N/A</v>
      </c>
      <c r="BD41" s="53"/>
      <c r="BE41" s="56"/>
      <c r="BF41" s="56"/>
      <c r="BG41" s="83" t="e">
        <f>ROUND(BD41*(HLOOKUP(BD$7,$D$9:$G41,ROW()-8,0)+BG$8),0)+ROUND(BF41*BG$8,0)</f>
        <v>#N/A</v>
      </c>
      <c r="BH41" s="53"/>
      <c r="BI41" s="56"/>
      <c r="BJ41" s="56"/>
      <c r="BK41" s="83" t="e">
        <f>ROUND(BH41*(HLOOKUP(BH$7,$D$9:$G41,ROW()-8,0)+BK$8),0)+ROUND(BJ41*BK$8,0)</f>
        <v>#N/A</v>
      </c>
      <c r="BL41" s="53"/>
      <c r="BM41" s="56"/>
      <c r="BN41" s="56"/>
      <c r="BO41" s="83" t="e">
        <f>ROUND(BL41*(HLOOKUP(BL$7,$D$9:$G41,ROW()-8,0)+BO$8),0)+ROUND(BN41*BO$8,0)</f>
        <v>#N/A</v>
      </c>
      <c r="BP41" s="53"/>
      <c r="BQ41" s="56"/>
      <c r="BR41" s="56"/>
      <c r="BS41" s="83" t="e">
        <f>ROUND(BP41*(HLOOKUP(BP$7,$D$9:$G41,ROW()-8,0)+BS$8),0)+ROUND(BR41*BS$8,0)</f>
        <v>#N/A</v>
      </c>
      <c r="BT41" s="54">
        <f t="shared" si="2"/>
        <v>0</v>
      </c>
      <c r="BU41" s="54">
        <f t="shared" si="2"/>
        <v>0</v>
      </c>
      <c r="BV41" s="54">
        <f t="shared" si="2"/>
        <v>0</v>
      </c>
      <c r="BW41" s="54">
        <f t="shared" si="2"/>
        <v>0</v>
      </c>
      <c r="BX41" s="63"/>
      <c r="BY41" s="107"/>
      <c r="BZ41" s="57" t="e">
        <f t="shared" si="1"/>
        <v>#DIV/0!</v>
      </c>
    </row>
    <row r="42" spans="3:78" ht="17.25">
      <c r="C42" s="64"/>
      <c r="D42" s="105"/>
      <c r="E42" s="106"/>
      <c r="F42" s="106"/>
      <c r="G42" s="110"/>
      <c r="H42" s="95"/>
      <c r="I42" s="56"/>
      <c r="J42" s="56"/>
      <c r="K42" s="83" t="e">
        <f>ROUND(H42*(HLOOKUP(H$7,$D$9:$G42,ROW()-8,0)+K$8),0)+ROUND(J42*K$8,0)</f>
        <v>#N/A</v>
      </c>
      <c r="L42" s="53"/>
      <c r="M42" s="56"/>
      <c r="N42" s="56"/>
      <c r="O42" s="83" t="e">
        <f>ROUND(L42*(HLOOKUP(L$7,$D$9:$G42,ROW()-8,0)+O$8),0)+ROUND(N42*O$8,0)</f>
        <v>#N/A</v>
      </c>
      <c r="P42" s="53"/>
      <c r="Q42" s="56"/>
      <c r="R42" s="56"/>
      <c r="S42" s="83" t="e">
        <f>ROUND(P42*(HLOOKUP(P$7,$D$9:$G42,ROW()-8,0)+S$8),0)+ROUND(R42*S$8,0)</f>
        <v>#N/A</v>
      </c>
      <c r="T42" s="53"/>
      <c r="U42" s="56"/>
      <c r="V42" s="56"/>
      <c r="W42" s="83" t="e">
        <f>ROUND(T42*(HLOOKUP(T$7,$D$9:$G42,ROW()-8,0)+W$8),0)+ROUND(V42*W$8,0)</f>
        <v>#N/A</v>
      </c>
      <c r="X42" s="53"/>
      <c r="Y42" s="56"/>
      <c r="Z42" s="56"/>
      <c r="AA42" s="83" t="e">
        <f>ROUND(X42*(HLOOKUP(X$7,$D$9:$G42,ROW()-8,0)+AA$8),0)+ROUND(Z42*AA$8,0)</f>
        <v>#N/A</v>
      </c>
      <c r="AB42" s="53"/>
      <c r="AC42" s="56"/>
      <c r="AD42" s="56"/>
      <c r="AE42" s="83" t="e">
        <f>ROUND(AB42*(HLOOKUP(AB$7,$D$9:$G42,ROW()-8,0)+AE$8),0)+ROUND(AD42*AE$8,0)</f>
        <v>#N/A</v>
      </c>
      <c r="AF42" s="53"/>
      <c r="AG42" s="56"/>
      <c r="AH42" s="56"/>
      <c r="AI42" s="83" t="e">
        <f>ROUND(AF42*(HLOOKUP(AF$7,$D$9:$G42,ROW()-8,0)+AI$8),0)+ROUND(AH42*AI$8,0)</f>
        <v>#N/A</v>
      </c>
      <c r="AJ42" s="53"/>
      <c r="AK42" s="56"/>
      <c r="AL42" s="56"/>
      <c r="AM42" s="83" t="e">
        <f>ROUND(AJ42*(HLOOKUP(AJ$7,$D$9:$G42,ROW()-8,0)+AM$8),0)+ROUND(AL42*AM$8,0)</f>
        <v>#N/A</v>
      </c>
      <c r="AN42" s="53"/>
      <c r="AO42" s="56"/>
      <c r="AP42" s="56"/>
      <c r="AQ42" s="83" t="e">
        <f>ROUND(AN42*(HLOOKUP(AN$7,$D$9:$G42,ROW()-8,0)+AQ$8),0)+ROUND(AP42*AQ$8,0)</f>
        <v>#N/A</v>
      </c>
      <c r="AR42" s="53"/>
      <c r="AS42" s="56"/>
      <c r="AT42" s="56"/>
      <c r="AU42" s="83" t="e">
        <f>ROUND(AR42*(HLOOKUP(AR$7,$D$9:$G42,ROW()-8,0)+AU$8),0)+ROUND(AT42*AU$8,0)</f>
        <v>#N/A</v>
      </c>
      <c r="AV42" s="53"/>
      <c r="AW42" s="56"/>
      <c r="AX42" s="56"/>
      <c r="AY42" s="83" t="e">
        <f>ROUND(AV42*(HLOOKUP(AV$7,$D$9:$G42,ROW()-8,0)+AY$8),0)+ROUND(AX42*AY$8,0)</f>
        <v>#N/A</v>
      </c>
      <c r="AZ42" s="53"/>
      <c r="BA42" s="56"/>
      <c r="BB42" s="56"/>
      <c r="BC42" s="83" t="e">
        <f>ROUND(AZ42*(HLOOKUP(AZ$7,$D$9:$G42,ROW()-8,0)+BC$8),0)+ROUND(BB42*BC$8,0)</f>
        <v>#N/A</v>
      </c>
      <c r="BD42" s="53"/>
      <c r="BE42" s="56"/>
      <c r="BF42" s="56"/>
      <c r="BG42" s="83" t="e">
        <f>ROUND(BD42*(HLOOKUP(BD$7,$D$9:$G42,ROW()-8,0)+BG$8),0)+ROUND(BF42*BG$8,0)</f>
        <v>#N/A</v>
      </c>
      <c r="BH42" s="53"/>
      <c r="BI42" s="56"/>
      <c r="BJ42" s="56"/>
      <c r="BK42" s="83" t="e">
        <f>ROUND(BH42*(HLOOKUP(BH$7,$D$9:$G42,ROW()-8,0)+BK$8),0)+ROUND(BJ42*BK$8,0)</f>
        <v>#N/A</v>
      </c>
      <c r="BL42" s="53"/>
      <c r="BM42" s="56"/>
      <c r="BN42" s="56"/>
      <c r="BO42" s="83" t="e">
        <f>ROUND(BL42*(HLOOKUP(BL$7,$D$9:$G42,ROW()-8,0)+BO$8),0)+ROUND(BN42*BO$8,0)</f>
        <v>#N/A</v>
      </c>
      <c r="BP42" s="53"/>
      <c r="BQ42" s="56"/>
      <c r="BR42" s="56"/>
      <c r="BS42" s="83" t="e">
        <f>ROUND(BP42*(HLOOKUP(BP$7,$D$9:$G42,ROW()-8,0)+BS$8),0)+ROUND(BR42*BS$8,0)</f>
        <v>#N/A</v>
      </c>
      <c r="BT42" s="54">
        <f t="shared" si="2"/>
        <v>0</v>
      </c>
      <c r="BU42" s="54">
        <f t="shared" si="2"/>
        <v>0</v>
      </c>
      <c r="BV42" s="54">
        <f t="shared" si="2"/>
        <v>0</v>
      </c>
      <c r="BW42" s="54">
        <f t="shared" si="2"/>
        <v>0</v>
      </c>
      <c r="BX42" s="63"/>
      <c r="BY42" s="107"/>
      <c r="BZ42" s="57" t="e">
        <f t="shared" si="1"/>
        <v>#DIV/0!</v>
      </c>
    </row>
    <row r="43" spans="3:78" ht="17.25">
      <c r="C43" s="64"/>
      <c r="D43" s="105"/>
      <c r="E43" s="106"/>
      <c r="F43" s="106"/>
      <c r="G43" s="110"/>
      <c r="H43" s="95"/>
      <c r="I43" s="56"/>
      <c r="J43" s="56"/>
      <c r="K43" s="83" t="e">
        <f>ROUND(H43*(HLOOKUP(H$7,$D$9:$G43,ROW()-8,0)+K$8),0)+ROUND(J43*K$8,0)</f>
        <v>#N/A</v>
      </c>
      <c r="L43" s="53"/>
      <c r="M43" s="56"/>
      <c r="N43" s="56"/>
      <c r="O43" s="83" t="e">
        <f>ROUND(L43*(HLOOKUP(L$7,$D$9:$G43,ROW()-8,0)+O$8),0)+ROUND(N43*O$8,0)</f>
        <v>#N/A</v>
      </c>
      <c r="P43" s="53"/>
      <c r="Q43" s="56"/>
      <c r="R43" s="56"/>
      <c r="S43" s="83" t="e">
        <f>ROUND(P43*(HLOOKUP(P$7,$D$9:$G43,ROW()-8,0)+S$8),0)+ROUND(R43*S$8,0)</f>
        <v>#N/A</v>
      </c>
      <c r="T43" s="53"/>
      <c r="U43" s="56"/>
      <c r="V43" s="56"/>
      <c r="W43" s="83" t="e">
        <f>ROUND(T43*(HLOOKUP(T$7,$D$9:$G43,ROW()-8,0)+W$8),0)+ROUND(V43*W$8,0)</f>
        <v>#N/A</v>
      </c>
      <c r="X43" s="53"/>
      <c r="Y43" s="56"/>
      <c r="Z43" s="56"/>
      <c r="AA43" s="83" t="e">
        <f>ROUND(X43*(HLOOKUP(X$7,$D$9:$G43,ROW()-8,0)+AA$8),0)+ROUND(Z43*AA$8,0)</f>
        <v>#N/A</v>
      </c>
      <c r="AB43" s="53"/>
      <c r="AC43" s="56"/>
      <c r="AD43" s="56"/>
      <c r="AE43" s="83" t="e">
        <f>ROUND(AB43*(HLOOKUP(AB$7,$D$9:$G43,ROW()-8,0)+AE$8),0)+ROUND(AD43*AE$8,0)</f>
        <v>#N/A</v>
      </c>
      <c r="AF43" s="53"/>
      <c r="AG43" s="56"/>
      <c r="AH43" s="56"/>
      <c r="AI43" s="83" t="e">
        <f>ROUND(AF43*(HLOOKUP(AF$7,$D$9:$G43,ROW()-8,0)+AI$8),0)+ROUND(AH43*AI$8,0)</f>
        <v>#N/A</v>
      </c>
      <c r="AJ43" s="53"/>
      <c r="AK43" s="56"/>
      <c r="AL43" s="56"/>
      <c r="AM43" s="83" t="e">
        <f>ROUND(AJ43*(HLOOKUP(AJ$7,$D$9:$G43,ROW()-8,0)+AM$8),0)+ROUND(AL43*AM$8,0)</f>
        <v>#N/A</v>
      </c>
      <c r="AN43" s="53"/>
      <c r="AO43" s="56"/>
      <c r="AP43" s="56"/>
      <c r="AQ43" s="83" t="e">
        <f>ROUND(AN43*(HLOOKUP(AN$7,$D$9:$G43,ROW()-8,0)+AQ$8),0)+ROUND(AP43*AQ$8,0)</f>
        <v>#N/A</v>
      </c>
      <c r="AR43" s="53"/>
      <c r="AS43" s="56"/>
      <c r="AT43" s="56"/>
      <c r="AU43" s="83" t="e">
        <f>ROUND(AR43*(HLOOKUP(AR$7,$D$9:$G43,ROW()-8,0)+AU$8),0)+ROUND(AT43*AU$8,0)</f>
        <v>#N/A</v>
      </c>
      <c r="AV43" s="53"/>
      <c r="AW43" s="56"/>
      <c r="AX43" s="56"/>
      <c r="AY43" s="83" t="e">
        <f>ROUND(AV43*(HLOOKUP(AV$7,$D$9:$G43,ROW()-8,0)+AY$8),0)+ROUND(AX43*AY$8,0)</f>
        <v>#N/A</v>
      </c>
      <c r="AZ43" s="53"/>
      <c r="BA43" s="56"/>
      <c r="BB43" s="56"/>
      <c r="BC43" s="83" t="e">
        <f>ROUND(AZ43*(HLOOKUP(AZ$7,$D$9:$G43,ROW()-8,0)+BC$8),0)+ROUND(BB43*BC$8,0)</f>
        <v>#N/A</v>
      </c>
      <c r="BD43" s="53"/>
      <c r="BE43" s="56"/>
      <c r="BF43" s="56"/>
      <c r="BG43" s="83" t="e">
        <f>ROUND(BD43*(HLOOKUP(BD$7,$D$9:$G43,ROW()-8,0)+BG$8),0)+ROUND(BF43*BG$8,0)</f>
        <v>#N/A</v>
      </c>
      <c r="BH43" s="53"/>
      <c r="BI43" s="56"/>
      <c r="BJ43" s="56"/>
      <c r="BK43" s="83" t="e">
        <f>ROUND(BH43*(HLOOKUP(BH$7,$D$9:$G43,ROW()-8,0)+BK$8),0)+ROUND(BJ43*BK$8,0)</f>
        <v>#N/A</v>
      </c>
      <c r="BL43" s="53"/>
      <c r="BM43" s="56"/>
      <c r="BN43" s="56"/>
      <c r="BO43" s="83" t="e">
        <f>ROUND(BL43*(HLOOKUP(BL$7,$D$9:$G43,ROW()-8,0)+BO$8),0)+ROUND(BN43*BO$8,0)</f>
        <v>#N/A</v>
      </c>
      <c r="BP43" s="53"/>
      <c r="BQ43" s="56"/>
      <c r="BR43" s="56"/>
      <c r="BS43" s="83" t="e">
        <f>ROUND(BP43*(HLOOKUP(BP$7,$D$9:$G43,ROW()-8,0)+BS$8),0)+ROUND(BR43*BS$8,0)</f>
        <v>#N/A</v>
      </c>
      <c r="BT43" s="54">
        <f t="shared" si="2"/>
        <v>0</v>
      </c>
      <c r="BU43" s="54">
        <f t="shared" si="2"/>
        <v>0</v>
      </c>
      <c r="BV43" s="54">
        <f t="shared" si="2"/>
        <v>0</v>
      </c>
      <c r="BW43" s="54">
        <f t="shared" si="2"/>
        <v>0</v>
      </c>
      <c r="BX43" s="63"/>
      <c r="BY43" s="107"/>
      <c r="BZ43" s="57" t="e">
        <f t="shared" si="1"/>
        <v>#DIV/0!</v>
      </c>
    </row>
    <row r="44" spans="3:78" ht="17.25">
      <c r="C44" s="64"/>
      <c r="D44" s="105"/>
      <c r="E44" s="106"/>
      <c r="F44" s="106"/>
      <c r="G44" s="110"/>
      <c r="H44" s="95"/>
      <c r="I44" s="56"/>
      <c r="J44" s="56"/>
      <c r="K44" s="83" t="e">
        <f>ROUND(H44*(HLOOKUP(H$7,$D$9:$G44,ROW()-8,0)+K$8),0)+ROUND(J44*K$8,0)</f>
        <v>#N/A</v>
      </c>
      <c r="L44" s="53"/>
      <c r="M44" s="56"/>
      <c r="N44" s="56"/>
      <c r="O44" s="83" t="e">
        <f>ROUND(L44*(HLOOKUP(L$7,$D$9:$G44,ROW()-8,0)+O$8),0)+ROUND(N44*O$8,0)</f>
        <v>#N/A</v>
      </c>
      <c r="P44" s="53"/>
      <c r="Q44" s="56"/>
      <c r="R44" s="56"/>
      <c r="S44" s="83" t="e">
        <f>ROUND(P44*(HLOOKUP(P$7,$D$9:$G44,ROW()-8,0)+S$8),0)+ROUND(R44*S$8,0)</f>
        <v>#N/A</v>
      </c>
      <c r="T44" s="53"/>
      <c r="U44" s="56"/>
      <c r="V44" s="56"/>
      <c r="W44" s="83" t="e">
        <f>ROUND(T44*(HLOOKUP(T$7,$D$9:$G44,ROW()-8,0)+W$8),0)+ROUND(V44*W$8,0)</f>
        <v>#N/A</v>
      </c>
      <c r="X44" s="53"/>
      <c r="Y44" s="56"/>
      <c r="Z44" s="56"/>
      <c r="AA44" s="83" t="e">
        <f>ROUND(X44*(HLOOKUP(X$7,$D$9:$G44,ROW()-8,0)+AA$8),0)+ROUND(Z44*AA$8,0)</f>
        <v>#N/A</v>
      </c>
      <c r="AB44" s="53"/>
      <c r="AC44" s="56"/>
      <c r="AD44" s="56"/>
      <c r="AE44" s="83" t="e">
        <f>ROUND(AB44*(HLOOKUP(AB$7,$D$9:$G44,ROW()-8,0)+AE$8),0)+ROUND(AD44*AE$8,0)</f>
        <v>#N/A</v>
      </c>
      <c r="AF44" s="53"/>
      <c r="AG44" s="56"/>
      <c r="AH44" s="56"/>
      <c r="AI44" s="83" t="e">
        <f>ROUND(AF44*(HLOOKUP(AF$7,$D$9:$G44,ROW()-8,0)+AI$8),0)+ROUND(AH44*AI$8,0)</f>
        <v>#N/A</v>
      </c>
      <c r="AJ44" s="53"/>
      <c r="AK44" s="56"/>
      <c r="AL44" s="56"/>
      <c r="AM44" s="83" t="e">
        <f>ROUND(AJ44*(HLOOKUP(AJ$7,$D$9:$G44,ROW()-8,0)+AM$8),0)+ROUND(AL44*AM$8,0)</f>
        <v>#N/A</v>
      </c>
      <c r="AN44" s="53"/>
      <c r="AO44" s="56"/>
      <c r="AP44" s="56"/>
      <c r="AQ44" s="83" t="e">
        <f>ROUND(AN44*(HLOOKUP(AN$7,$D$9:$G44,ROW()-8,0)+AQ$8),0)+ROUND(AP44*AQ$8,0)</f>
        <v>#N/A</v>
      </c>
      <c r="AR44" s="53"/>
      <c r="AS44" s="56"/>
      <c r="AT44" s="56"/>
      <c r="AU44" s="83" t="e">
        <f>ROUND(AR44*(HLOOKUP(AR$7,$D$9:$G44,ROW()-8,0)+AU$8),0)+ROUND(AT44*AU$8,0)</f>
        <v>#N/A</v>
      </c>
      <c r="AV44" s="53"/>
      <c r="AW44" s="56"/>
      <c r="AX44" s="56"/>
      <c r="AY44" s="83" t="e">
        <f>ROUND(AV44*(HLOOKUP(AV$7,$D$9:$G44,ROW()-8,0)+AY$8),0)+ROUND(AX44*AY$8,0)</f>
        <v>#N/A</v>
      </c>
      <c r="AZ44" s="53"/>
      <c r="BA44" s="56"/>
      <c r="BB44" s="56"/>
      <c r="BC44" s="83" t="e">
        <f>ROUND(AZ44*(HLOOKUP(AZ$7,$D$9:$G44,ROW()-8,0)+BC$8),0)+ROUND(BB44*BC$8,0)</f>
        <v>#N/A</v>
      </c>
      <c r="BD44" s="53"/>
      <c r="BE44" s="56"/>
      <c r="BF44" s="56"/>
      <c r="BG44" s="83" t="e">
        <f>ROUND(BD44*(HLOOKUP(BD$7,$D$9:$G44,ROW()-8,0)+BG$8),0)+ROUND(BF44*BG$8,0)</f>
        <v>#N/A</v>
      </c>
      <c r="BH44" s="53"/>
      <c r="BI44" s="56"/>
      <c r="BJ44" s="56"/>
      <c r="BK44" s="83" t="e">
        <f>ROUND(BH44*(HLOOKUP(BH$7,$D$9:$G44,ROW()-8,0)+BK$8),0)+ROUND(BJ44*BK$8,0)</f>
        <v>#N/A</v>
      </c>
      <c r="BL44" s="53"/>
      <c r="BM44" s="56"/>
      <c r="BN44" s="56"/>
      <c r="BO44" s="83" t="e">
        <f>ROUND(BL44*(HLOOKUP(BL$7,$D$9:$G44,ROW()-8,0)+BO$8),0)+ROUND(BN44*BO$8,0)</f>
        <v>#N/A</v>
      </c>
      <c r="BP44" s="53"/>
      <c r="BQ44" s="56"/>
      <c r="BR44" s="56"/>
      <c r="BS44" s="83" t="e">
        <f>ROUND(BP44*(HLOOKUP(BP$7,$D$9:$G44,ROW()-8,0)+BS$8),0)+ROUND(BR44*BS$8,0)</f>
        <v>#N/A</v>
      </c>
      <c r="BT44" s="54">
        <f t="shared" si="2"/>
        <v>0</v>
      </c>
      <c r="BU44" s="54">
        <f t="shared" si="2"/>
        <v>0</v>
      </c>
      <c r="BV44" s="54">
        <f t="shared" si="2"/>
        <v>0</v>
      </c>
      <c r="BW44" s="54">
        <f t="shared" si="2"/>
        <v>0</v>
      </c>
      <c r="BX44" s="63"/>
      <c r="BY44" s="107"/>
      <c r="BZ44" s="57" t="e">
        <f t="shared" si="1"/>
        <v>#DIV/0!</v>
      </c>
    </row>
    <row r="45" spans="3:78" ht="17.25">
      <c r="C45" s="64"/>
      <c r="D45" s="105"/>
      <c r="E45" s="106"/>
      <c r="F45" s="106"/>
      <c r="G45" s="110"/>
      <c r="H45" s="95"/>
      <c r="I45" s="56"/>
      <c r="J45" s="56"/>
      <c r="K45" s="83" t="e">
        <f>ROUND(H45*(HLOOKUP(H$7,$D$9:$G45,ROW()-8,0)+K$8),0)+ROUND(J45*K$8,0)</f>
        <v>#N/A</v>
      </c>
      <c r="L45" s="53"/>
      <c r="M45" s="56"/>
      <c r="N45" s="56"/>
      <c r="O45" s="83" t="e">
        <f>ROUND(L45*(HLOOKUP(L$7,$D$9:$G45,ROW()-8,0)+O$8),0)+ROUND(N45*O$8,0)</f>
        <v>#N/A</v>
      </c>
      <c r="P45" s="53"/>
      <c r="Q45" s="56"/>
      <c r="R45" s="56"/>
      <c r="S45" s="83" t="e">
        <f>ROUND(P45*(HLOOKUP(P$7,$D$9:$G45,ROW()-8,0)+S$8),0)+ROUND(R45*S$8,0)</f>
        <v>#N/A</v>
      </c>
      <c r="T45" s="53"/>
      <c r="U45" s="56"/>
      <c r="V45" s="56"/>
      <c r="W45" s="83" t="e">
        <f>ROUND(T45*(HLOOKUP(T$7,$D$9:$G45,ROW()-8,0)+W$8),0)+ROUND(V45*W$8,0)</f>
        <v>#N/A</v>
      </c>
      <c r="X45" s="53"/>
      <c r="Y45" s="56"/>
      <c r="Z45" s="56"/>
      <c r="AA45" s="83" t="e">
        <f>ROUND(X45*(HLOOKUP(X$7,$D$9:$G45,ROW()-8,0)+AA$8),0)+ROUND(Z45*AA$8,0)</f>
        <v>#N/A</v>
      </c>
      <c r="AB45" s="53"/>
      <c r="AC45" s="56"/>
      <c r="AD45" s="56"/>
      <c r="AE45" s="83" t="e">
        <f>ROUND(AB45*(HLOOKUP(AB$7,$D$9:$G45,ROW()-8,0)+AE$8),0)+ROUND(AD45*AE$8,0)</f>
        <v>#N/A</v>
      </c>
      <c r="AF45" s="53"/>
      <c r="AG45" s="56"/>
      <c r="AH45" s="56"/>
      <c r="AI45" s="83" t="e">
        <f>ROUND(AF45*(HLOOKUP(AF$7,$D$9:$G45,ROW()-8,0)+AI$8),0)+ROUND(AH45*AI$8,0)</f>
        <v>#N/A</v>
      </c>
      <c r="AJ45" s="53"/>
      <c r="AK45" s="56"/>
      <c r="AL45" s="56"/>
      <c r="AM45" s="83" t="e">
        <f>ROUND(AJ45*(HLOOKUP(AJ$7,$D$9:$G45,ROW()-8,0)+AM$8),0)+ROUND(AL45*AM$8,0)</f>
        <v>#N/A</v>
      </c>
      <c r="AN45" s="53"/>
      <c r="AO45" s="56"/>
      <c r="AP45" s="56"/>
      <c r="AQ45" s="83" t="e">
        <f>ROUND(AN45*(HLOOKUP(AN$7,$D$9:$G45,ROW()-8,0)+AQ$8),0)+ROUND(AP45*AQ$8,0)</f>
        <v>#N/A</v>
      </c>
      <c r="AR45" s="53"/>
      <c r="AS45" s="56"/>
      <c r="AT45" s="56"/>
      <c r="AU45" s="83" t="e">
        <f>ROUND(AR45*(HLOOKUP(AR$7,$D$9:$G45,ROW()-8,0)+AU$8),0)+ROUND(AT45*AU$8,0)</f>
        <v>#N/A</v>
      </c>
      <c r="AV45" s="53"/>
      <c r="AW45" s="56"/>
      <c r="AX45" s="56"/>
      <c r="AY45" s="83" t="e">
        <f>ROUND(AV45*(HLOOKUP(AV$7,$D$9:$G45,ROW()-8,0)+AY$8),0)+ROUND(AX45*AY$8,0)</f>
        <v>#N/A</v>
      </c>
      <c r="AZ45" s="53"/>
      <c r="BA45" s="56"/>
      <c r="BB45" s="56"/>
      <c r="BC45" s="83" t="e">
        <f>ROUND(AZ45*(HLOOKUP(AZ$7,$D$9:$G45,ROW()-8,0)+BC$8),0)+ROUND(BB45*BC$8,0)</f>
        <v>#N/A</v>
      </c>
      <c r="BD45" s="53"/>
      <c r="BE45" s="56"/>
      <c r="BF45" s="56"/>
      <c r="BG45" s="83" t="e">
        <f>ROUND(BD45*(HLOOKUP(BD$7,$D$9:$G45,ROW()-8,0)+BG$8),0)+ROUND(BF45*BG$8,0)</f>
        <v>#N/A</v>
      </c>
      <c r="BH45" s="53"/>
      <c r="BI45" s="56"/>
      <c r="BJ45" s="56"/>
      <c r="BK45" s="83" t="e">
        <f>ROUND(BH45*(HLOOKUP(BH$7,$D$9:$G45,ROW()-8,0)+BK$8),0)+ROUND(BJ45*BK$8,0)</f>
        <v>#N/A</v>
      </c>
      <c r="BL45" s="53"/>
      <c r="BM45" s="56"/>
      <c r="BN45" s="56"/>
      <c r="BO45" s="83" t="e">
        <f>ROUND(BL45*(HLOOKUP(BL$7,$D$9:$G45,ROW()-8,0)+BO$8),0)+ROUND(BN45*BO$8,0)</f>
        <v>#N/A</v>
      </c>
      <c r="BP45" s="53"/>
      <c r="BQ45" s="56"/>
      <c r="BR45" s="56"/>
      <c r="BS45" s="83" t="e">
        <f>ROUND(BP45*(HLOOKUP(BP$7,$D$9:$G45,ROW()-8,0)+BS$8),0)+ROUND(BR45*BS$8,0)</f>
        <v>#N/A</v>
      </c>
      <c r="BT45" s="54">
        <f t="shared" si="2"/>
        <v>0</v>
      </c>
      <c r="BU45" s="54">
        <f t="shared" si="2"/>
        <v>0</v>
      </c>
      <c r="BV45" s="54">
        <f t="shared" si="2"/>
        <v>0</v>
      </c>
      <c r="BW45" s="54">
        <f t="shared" si="2"/>
        <v>0</v>
      </c>
      <c r="BX45" s="63"/>
      <c r="BY45" s="107"/>
      <c r="BZ45" s="57" t="e">
        <f t="shared" si="1"/>
        <v>#DIV/0!</v>
      </c>
    </row>
    <row r="46" spans="3:78" ht="17.25">
      <c r="C46" s="64"/>
      <c r="D46" s="105"/>
      <c r="E46" s="106"/>
      <c r="F46" s="106"/>
      <c r="G46" s="110"/>
      <c r="H46" s="95"/>
      <c r="I46" s="56"/>
      <c r="J46" s="56"/>
      <c r="K46" s="83" t="e">
        <f>ROUND(H46*(HLOOKUP(H$7,$D$9:$G46,ROW()-8,0)+K$8),0)+ROUND(J46*K$8,0)</f>
        <v>#N/A</v>
      </c>
      <c r="L46" s="53"/>
      <c r="M46" s="56"/>
      <c r="N46" s="56"/>
      <c r="O46" s="83" t="e">
        <f>ROUND(L46*(HLOOKUP(L$7,$D$9:$G46,ROW()-8,0)+O$8),0)+ROUND(N46*O$8,0)</f>
        <v>#N/A</v>
      </c>
      <c r="P46" s="53"/>
      <c r="Q46" s="56"/>
      <c r="R46" s="56"/>
      <c r="S46" s="83" t="e">
        <f>ROUND(P46*(HLOOKUP(P$7,$D$9:$G46,ROW()-8,0)+S$8),0)+ROUND(R46*S$8,0)</f>
        <v>#N/A</v>
      </c>
      <c r="T46" s="53"/>
      <c r="U46" s="56"/>
      <c r="V46" s="56"/>
      <c r="W46" s="83" t="e">
        <f>ROUND(T46*(HLOOKUP(T$7,$D$9:$G46,ROW()-8,0)+W$8),0)+ROUND(V46*W$8,0)</f>
        <v>#N/A</v>
      </c>
      <c r="X46" s="53"/>
      <c r="Y46" s="56"/>
      <c r="Z46" s="56"/>
      <c r="AA46" s="83" t="e">
        <f>ROUND(X46*(HLOOKUP(X$7,$D$9:$G46,ROW()-8,0)+AA$8),0)+ROUND(Z46*AA$8,0)</f>
        <v>#N/A</v>
      </c>
      <c r="AB46" s="53"/>
      <c r="AC46" s="56"/>
      <c r="AD46" s="56"/>
      <c r="AE46" s="83" t="e">
        <f>ROUND(AB46*(HLOOKUP(AB$7,$D$9:$G46,ROW()-8,0)+AE$8),0)+ROUND(AD46*AE$8,0)</f>
        <v>#N/A</v>
      </c>
      <c r="AF46" s="53"/>
      <c r="AG46" s="56"/>
      <c r="AH46" s="56"/>
      <c r="AI46" s="83" t="e">
        <f>ROUND(AF46*(HLOOKUP(AF$7,$D$9:$G46,ROW()-8,0)+AI$8),0)+ROUND(AH46*AI$8,0)</f>
        <v>#N/A</v>
      </c>
      <c r="AJ46" s="53"/>
      <c r="AK46" s="56"/>
      <c r="AL46" s="56"/>
      <c r="AM46" s="83" t="e">
        <f>ROUND(AJ46*(HLOOKUP(AJ$7,$D$9:$G46,ROW()-8,0)+AM$8),0)+ROUND(AL46*AM$8,0)</f>
        <v>#N/A</v>
      </c>
      <c r="AN46" s="53"/>
      <c r="AO46" s="56"/>
      <c r="AP46" s="56"/>
      <c r="AQ46" s="83" t="e">
        <f>ROUND(AN46*(HLOOKUP(AN$7,$D$9:$G46,ROW()-8,0)+AQ$8),0)+ROUND(AP46*AQ$8,0)</f>
        <v>#N/A</v>
      </c>
      <c r="AR46" s="53"/>
      <c r="AS46" s="56"/>
      <c r="AT46" s="56"/>
      <c r="AU46" s="83" t="e">
        <f>ROUND(AR46*(HLOOKUP(AR$7,$D$9:$G46,ROW()-8,0)+AU$8),0)+ROUND(AT46*AU$8,0)</f>
        <v>#N/A</v>
      </c>
      <c r="AV46" s="53"/>
      <c r="AW46" s="56"/>
      <c r="AX46" s="56"/>
      <c r="AY46" s="83" t="e">
        <f>ROUND(AV46*(HLOOKUP(AV$7,$D$9:$G46,ROW()-8,0)+AY$8),0)+ROUND(AX46*AY$8,0)</f>
        <v>#N/A</v>
      </c>
      <c r="AZ46" s="53"/>
      <c r="BA46" s="56"/>
      <c r="BB46" s="56"/>
      <c r="BC46" s="83" t="e">
        <f>ROUND(AZ46*(HLOOKUP(AZ$7,$D$9:$G46,ROW()-8,0)+BC$8),0)+ROUND(BB46*BC$8,0)</f>
        <v>#N/A</v>
      </c>
      <c r="BD46" s="53"/>
      <c r="BE46" s="56"/>
      <c r="BF46" s="56"/>
      <c r="BG46" s="83" t="e">
        <f>ROUND(BD46*(HLOOKUP(BD$7,$D$9:$G46,ROW()-8,0)+BG$8),0)+ROUND(BF46*BG$8,0)</f>
        <v>#N/A</v>
      </c>
      <c r="BH46" s="53"/>
      <c r="BI46" s="56"/>
      <c r="BJ46" s="56"/>
      <c r="BK46" s="83" t="e">
        <f>ROUND(BH46*(HLOOKUP(BH$7,$D$9:$G46,ROW()-8,0)+BK$8),0)+ROUND(BJ46*BK$8,0)</f>
        <v>#N/A</v>
      </c>
      <c r="BL46" s="53"/>
      <c r="BM46" s="56"/>
      <c r="BN46" s="56"/>
      <c r="BO46" s="83" t="e">
        <f>ROUND(BL46*(HLOOKUP(BL$7,$D$9:$G46,ROW()-8,0)+BO$8),0)+ROUND(BN46*BO$8,0)</f>
        <v>#N/A</v>
      </c>
      <c r="BP46" s="53"/>
      <c r="BQ46" s="56"/>
      <c r="BR46" s="56"/>
      <c r="BS46" s="83" t="e">
        <f>ROUND(BP46*(HLOOKUP(BP$7,$D$9:$G46,ROW()-8,0)+BS$8),0)+ROUND(BR46*BS$8,0)</f>
        <v>#N/A</v>
      </c>
      <c r="BT46" s="54">
        <f t="shared" si="2"/>
        <v>0</v>
      </c>
      <c r="BU46" s="54">
        <f t="shared" si="2"/>
        <v>0</v>
      </c>
      <c r="BV46" s="54">
        <f t="shared" si="2"/>
        <v>0</v>
      </c>
      <c r="BW46" s="54">
        <f t="shared" si="2"/>
        <v>0</v>
      </c>
      <c r="BX46" s="63"/>
      <c r="BY46" s="107"/>
      <c r="BZ46" s="57" t="e">
        <f t="shared" si="1"/>
        <v>#DIV/0!</v>
      </c>
    </row>
    <row r="47" spans="3:78" ht="17.25">
      <c r="C47" s="64"/>
      <c r="D47" s="105"/>
      <c r="E47" s="106"/>
      <c r="F47" s="106"/>
      <c r="G47" s="110"/>
      <c r="H47" s="95"/>
      <c r="I47" s="56"/>
      <c r="J47" s="56"/>
      <c r="K47" s="83" t="e">
        <f>ROUND(H47*(HLOOKUP(H$7,$D$9:$G47,ROW()-8,0)+K$8),0)+ROUND(J47*K$8,0)</f>
        <v>#N/A</v>
      </c>
      <c r="L47" s="53"/>
      <c r="M47" s="56"/>
      <c r="N47" s="56"/>
      <c r="O47" s="83" t="e">
        <f>ROUND(L47*(HLOOKUP(L$7,$D$9:$G47,ROW()-8,0)+O$8),0)+ROUND(N47*O$8,0)</f>
        <v>#N/A</v>
      </c>
      <c r="P47" s="53"/>
      <c r="Q47" s="56"/>
      <c r="R47" s="56"/>
      <c r="S47" s="83" t="e">
        <f>ROUND(P47*(HLOOKUP(P$7,$D$9:$G47,ROW()-8,0)+S$8),0)+ROUND(R47*S$8,0)</f>
        <v>#N/A</v>
      </c>
      <c r="T47" s="53"/>
      <c r="U47" s="56"/>
      <c r="V47" s="56"/>
      <c r="W47" s="83" t="e">
        <f>ROUND(T47*(HLOOKUP(T$7,$D$9:$G47,ROW()-8,0)+W$8),0)+ROUND(V47*W$8,0)</f>
        <v>#N/A</v>
      </c>
      <c r="X47" s="53"/>
      <c r="Y47" s="56"/>
      <c r="Z47" s="56"/>
      <c r="AA47" s="83" t="e">
        <f>ROUND(X47*(HLOOKUP(X$7,$D$9:$G47,ROW()-8,0)+AA$8),0)+ROUND(Z47*AA$8,0)</f>
        <v>#N/A</v>
      </c>
      <c r="AB47" s="53"/>
      <c r="AC47" s="56"/>
      <c r="AD47" s="56"/>
      <c r="AE47" s="83" t="e">
        <f>ROUND(AB47*(HLOOKUP(AB$7,$D$9:$G47,ROW()-8,0)+AE$8),0)+ROUND(AD47*AE$8,0)</f>
        <v>#N/A</v>
      </c>
      <c r="AF47" s="53"/>
      <c r="AG47" s="56"/>
      <c r="AH47" s="56"/>
      <c r="AI47" s="83" t="e">
        <f>ROUND(AF47*(HLOOKUP(AF$7,$D$9:$G47,ROW()-8,0)+AI$8),0)+ROUND(AH47*AI$8,0)</f>
        <v>#N/A</v>
      </c>
      <c r="AJ47" s="53"/>
      <c r="AK47" s="56"/>
      <c r="AL47" s="56"/>
      <c r="AM47" s="83" t="e">
        <f>ROUND(AJ47*(HLOOKUP(AJ$7,$D$9:$G47,ROW()-8,0)+AM$8),0)+ROUND(AL47*AM$8,0)</f>
        <v>#N/A</v>
      </c>
      <c r="AN47" s="53"/>
      <c r="AO47" s="56"/>
      <c r="AP47" s="56"/>
      <c r="AQ47" s="83" t="e">
        <f>ROUND(AN47*(HLOOKUP(AN$7,$D$9:$G47,ROW()-8,0)+AQ$8),0)+ROUND(AP47*AQ$8,0)</f>
        <v>#N/A</v>
      </c>
      <c r="AR47" s="53"/>
      <c r="AS47" s="56"/>
      <c r="AT47" s="56"/>
      <c r="AU47" s="83" t="e">
        <f>ROUND(AR47*(HLOOKUP(AR$7,$D$9:$G47,ROW()-8,0)+AU$8),0)+ROUND(AT47*AU$8,0)</f>
        <v>#N/A</v>
      </c>
      <c r="AV47" s="53"/>
      <c r="AW47" s="56"/>
      <c r="AX47" s="56"/>
      <c r="AY47" s="83" t="e">
        <f>ROUND(AV47*(HLOOKUP(AV$7,$D$9:$G47,ROW()-8,0)+AY$8),0)+ROUND(AX47*AY$8,0)</f>
        <v>#N/A</v>
      </c>
      <c r="AZ47" s="53"/>
      <c r="BA47" s="56"/>
      <c r="BB47" s="56"/>
      <c r="BC47" s="83" t="e">
        <f>ROUND(AZ47*(HLOOKUP(AZ$7,$D$9:$G47,ROW()-8,0)+BC$8),0)+ROUND(BB47*BC$8,0)</f>
        <v>#N/A</v>
      </c>
      <c r="BD47" s="53"/>
      <c r="BE47" s="56"/>
      <c r="BF47" s="56"/>
      <c r="BG47" s="83" t="e">
        <f>ROUND(BD47*(HLOOKUP(BD$7,$D$9:$G47,ROW()-8,0)+BG$8),0)+ROUND(BF47*BG$8,0)</f>
        <v>#N/A</v>
      </c>
      <c r="BH47" s="53"/>
      <c r="BI47" s="56"/>
      <c r="BJ47" s="56"/>
      <c r="BK47" s="83" t="e">
        <f>ROUND(BH47*(HLOOKUP(BH$7,$D$9:$G47,ROW()-8,0)+BK$8),0)+ROUND(BJ47*BK$8,0)</f>
        <v>#N/A</v>
      </c>
      <c r="BL47" s="53"/>
      <c r="BM47" s="56"/>
      <c r="BN47" s="56"/>
      <c r="BO47" s="83" t="e">
        <f>ROUND(BL47*(HLOOKUP(BL$7,$D$9:$G47,ROW()-8,0)+BO$8),0)+ROUND(BN47*BO$8,0)</f>
        <v>#N/A</v>
      </c>
      <c r="BP47" s="53"/>
      <c r="BQ47" s="56"/>
      <c r="BR47" s="56"/>
      <c r="BS47" s="83" t="e">
        <f>ROUND(BP47*(HLOOKUP(BP$7,$D$9:$G47,ROW()-8,0)+BS$8),0)+ROUND(BR47*BS$8,0)</f>
        <v>#N/A</v>
      </c>
      <c r="BT47" s="54">
        <f t="shared" si="2"/>
        <v>0</v>
      </c>
      <c r="BU47" s="54">
        <f t="shared" si="2"/>
        <v>0</v>
      </c>
      <c r="BV47" s="54">
        <f t="shared" si="2"/>
        <v>0</v>
      </c>
      <c r="BW47" s="54">
        <f t="shared" si="2"/>
        <v>0</v>
      </c>
      <c r="BX47" s="63"/>
      <c r="BY47" s="107"/>
      <c r="BZ47" s="57" t="e">
        <f t="shared" si="1"/>
        <v>#DIV/0!</v>
      </c>
    </row>
    <row r="48" spans="3:78" ht="17.25">
      <c r="C48" s="64"/>
      <c r="D48" s="105"/>
      <c r="E48" s="106"/>
      <c r="F48" s="106"/>
      <c r="G48" s="110"/>
      <c r="H48" s="95"/>
      <c r="I48" s="56"/>
      <c r="J48" s="56"/>
      <c r="K48" s="83" t="e">
        <f>ROUND(H48*(HLOOKUP(H$7,$D$9:$G48,ROW()-8,0)+K$8),0)+ROUND(J48*K$8,0)</f>
        <v>#N/A</v>
      </c>
      <c r="L48" s="53"/>
      <c r="M48" s="56"/>
      <c r="N48" s="56"/>
      <c r="O48" s="83" t="e">
        <f>ROUND(L48*(HLOOKUP(L$7,$D$9:$G48,ROW()-8,0)+O$8),0)+ROUND(N48*O$8,0)</f>
        <v>#N/A</v>
      </c>
      <c r="P48" s="53"/>
      <c r="Q48" s="56"/>
      <c r="R48" s="56"/>
      <c r="S48" s="83" t="e">
        <f>ROUND(P48*(HLOOKUP(P$7,$D$9:$G48,ROW()-8,0)+S$8),0)+ROUND(R48*S$8,0)</f>
        <v>#N/A</v>
      </c>
      <c r="T48" s="53"/>
      <c r="U48" s="56"/>
      <c r="V48" s="56"/>
      <c r="W48" s="83" t="e">
        <f>ROUND(T48*(HLOOKUP(T$7,$D$9:$G48,ROW()-8,0)+W$8),0)+ROUND(V48*W$8,0)</f>
        <v>#N/A</v>
      </c>
      <c r="X48" s="53"/>
      <c r="Y48" s="56"/>
      <c r="Z48" s="56"/>
      <c r="AA48" s="83" t="e">
        <f>ROUND(X48*(HLOOKUP(X$7,$D$9:$G48,ROW()-8,0)+AA$8),0)+ROUND(Z48*AA$8,0)</f>
        <v>#N/A</v>
      </c>
      <c r="AB48" s="53"/>
      <c r="AC48" s="56"/>
      <c r="AD48" s="56"/>
      <c r="AE48" s="83" t="e">
        <f>ROUND(AB48*(HLOOKUP(AB$7,$D$9:$G48,ROW()-8,0)+AE$8),0)+ROUND(AD48*AE$8,0)</f>
        <v>#N/A</v>
      </c>
      <c r="AF48" s="53"/>
      <c r="AG48" s="56"/>
      <c r="AH48" s="56"/>
      <c r="AI48" s="83" t="e">
        <f>ROUND(AF48*(HLOOKUP(AF$7,$D$9:$G48,ROW()-8,0)+AI$8),0)+ROUND(AH48*AI$8,0)</f>
        <v>#N/A</v>
      </c>
      <c r="AJ48" s="53"/>
      <c r="AK48" s="56"/>
      <c r="AL48" s="56"/>
      <c r="AM48" s="83" t="e">
        <f>ROUND(AJ48*(HLOOKUP(AJ$7,$D$9:$G48,ROW()-8,0)+AM$8),0)+ROUND(AL48*AM$8,0)</f>
        <v>#N/A</v>
      </c>
      <c r="AN48" s="53"/>
      <c r="AO48" s="56"/>
      <c r="AP48" s="56"/>
      <c r="AQ48" s="83" t="e">
        <f>ROUND(AN48*(HLOOKUP(AN$7,$D$9:$G48,ROW()-8,0)+AQ$8),0)+ROUND(AP48*AQ$8,0)</f>
        <v>#N/A</v>
      </c>
      <c r="AR48" s="53"/>
      <c r="AS48" s="56"/>
      <c r="AT48" s="56"/>
      <c r="AU48" s="83" t="e">
        <f>ROUND(AR48*(HLOOKUP(AR$7,$D$9:$G48,ROW()-8,0)+AU$8),0)+ROUND(AT48*AU$8,0)</f>
        <v>#N/A</v>
      </c>
      <c r="AV48" s="53"/>
      <c r="AW48" s="56"/>
      <c r="AX48" s="56"/>
      <c r="AY48" s="83" t="e">
        <f>ROUND(AV48*(HLOOKUP(AV$7,$D$9:$G48,ROW()-8,0)+AY$8),0)+ROUND(AX48*AY$8,0)</f>
        <v>#N/A</v>
      </c>
      <c r="AZ48" s="53"/>
      <c r="BA48" s="56"/>
      <c r="BB48" s="56"/>
      <c r="BC48" s="83" t="e">
        <f>ROUND(AZ48*(HLOOKUP(AZ$7,$D$9:$G48,ROW()-8,0)+BC$8),0)+ROUND(BB48*BC$8,0)</f>
        <v>#N/A</v>
      </c>
      <c r="BD48" s="53"/>
      <c r="BE48" s="56"/>
      <c r="BF48" s="56"/>
      <c r="BG48" s="83" t="e">
        <f>ROUND(BD48*(HLOOKUP(BD$7,$D$9:$G48,ROW()-8,0)+BG$8),0)+ROUND(BF48*BG$8,0)</f>
        <v>#N/A</v>
      </c>
      <c r="BH48" s="53"/>
      <c r="BI48" s="56"/>
      <c r="BJ48" s="56"/>
      <c r="BK48" s="83" t="e">
        <f>ROUND(BH48*(HLOOKUP(BH$7,$D$9:$G48,ROW()-8,0)+BK$8),0)+ROUND(BJ48*BK$8,0)</f>
        <v>#N/A</v>
      </c>
      <c r="BL48" s="53"/>
      <c r="BM48" s="56"/>
      <c r="BN48" s="56"/>
      <c r="BO48" s="83" t="e">
        <f>ROUND(BL48*(HLOOKUP(BL$7,$D$9:$G48,ROW()-8,0)+BO$8),0)+ROUND(BN48*BO$8,0)</f>
        <v>#N/A</v>
      </c>
      <c r="BP48" s="53"/>
      <c r="BQ48" s="56"/>
      <c r="BR48" s="56"/>
      <c r="BS48" s="83" t="e">
        <f>ROUND(BP48*(HLOOKUP(BP$7,$D$9:$G48,ROW()-8,0)+BS$8),0)+ROUND(BR48*BS$8,0)</f>
        <v>#N/A</v>
      </c>
      <c r="BT48" s="54">
        <f t="shared" si="2"/>
        <v>0</v>
      </c>
      <c r="BU48" s="54">
        <f t="shared" si="2"/>
        <v>0</v>
      </c>
      <c r="BV48" s="54">
        <f t="shared" si="2"/>
        <v>0</v>
      </c>
      <c r="BW48" s="54">
        <f t="shared" si="2"/>
        <v>0</v>
      </c>
      <c r="BX48" s="63"/>
      <c r="BY48" s="107"/>
      <c r="BZ48" s="57" t="e">
        <f t="shared" si="1"/>
        <v>#DIV/0!</v>
      </c>
    </row>
    <row r="49" spans="3:78" ht="17.25">
      <c r="C49" s="64"/>
      <c r="D49" s="105"/>
      <c r="E49" s="106"/>
      <c r="F49" s="106"/>
      <c r="G49" s="110"/>
      <c r="H49" s="95"/>
      <c r="I49" s="56"/>
      <c r="J49" s="56"/>
      <c r="K49" s="83" t="e">
        <f>ROUND(H49*(HLOOKUP(H$7,$D$9:$G49,ROW()-8,0)+K$8),0)+ROUND(J49*K$8,0)</f>
        <v>#N/A</v>
      </c>
      <c r="L49" s="53"/>
      <c r="M49" s="56"/>
      <c r="N49" s="56"/>
      <c r="O49" s="83" t="e">
        <f>ROUND(L49*(HLOOKUP(L$7,$D$9:$G49,ROW()-8,0)+O$8),0)+ROUND(N49*O$8,0)</f>
        <v>#N/A</v>
      </c>
      <c r="P49" s="53"/>
      <c r="Q49" s="56"/>
      <c r="R49" s="56"/>
      <c r="S49" s="83" t="e">
        <f>ROUND(P49*(HLOOKUP(P$7,$D$9:$G49,ROW()-8,0)+S$8),0)+ROUND(R49*S$8,0)</f>
        <v>#N/A</v>
      </c>
      <c r="T49" s="53"/>
      <c r="U49" s="56"/>
      <c r="V49" s="56"/>
      <c r="W49" s="83" t="e">
        <f>ROUND(T49*(HLOOKUP(T$7,$D$9:$G49,ROW()-8,0)+W$8),0)+ROUND(V49*W$8,0)</f>
        <v>#N/A</v>
      </c>
      <c r="X49" s="53"/>
      <c r="Y49" s="56"/>
      <c r="Z49" s="56"/>
      <c r="AA49" s="83" t="e">
        <f>ROUND(X49*(HLOOKUP(X$7,$D$9:$G49,ROW()-8,0)+AA$8),0)+ROUND(Z49*AA$8,0)</f>
        <v>#N/A</v>
      </c>
      <c r="AB49" s="53"/>
      <c r="AC49" s="56"/>
      <c r="AD49" s="56"/>
      <c r="AE49" s="83" t="e">
        <f>ROUND(AB49*(HLOOKUP(AB$7,$D$9:$G49,ROW()-8,0)+AE$8),0)+ROUND(AD49*AE$8,0)</f>
        <v>#N/A</v>
      </c>
      <c r="AF49" s="53"/>
      <c r="AG49" s="56"/>
      <c r="AH49" s="56"/>
      <c r="AI49" s="83" t="e">
        <f>ROUND(AF49*(HLOOKUP(AF$7,$D$9:$G49,ROW()-8,0)+AI$8),0)+ROUND(AH49*AI$8,0)</f>
        <v>#N/A</v>
      </c>
      <c r="AJ49" s="53"/>
      <c r="AK49" s="56"/>
      <c r="AL49" s="56"/>
      <c r="AM49" s="83" t="e">
        <f>ROUND(AJ49*(HLOOKUP(AJ$7,$D$9:$G49,ROW()-8,0)+AM$8),0)+ROUND(AL49*AM$8,0)</f>
        <v>#N/A</v>
      </c>
      <c r="AN49" s="53"/>
      <c r="AO49" s="56"/>
      <c r="AP49" s="56"/>
      <c r="AQ49" s="83" t="e">
        <f>ROUND(AN49*(HLOOKUP(AN$7,$D$9:$G49,ROW()-8,0)+AQ$8),0)+ROUND(AP49*AQ$8,0)</f>
        <v>#N/A</v>
      </c>
      <c r="AR49" s="53"/>
      <c r="AS49" s="56"/>
      <c r="AT49" s="56"/>
      <c r="AU49" s="83" t="e">
        <f>ROUND(AR49*(HLOOKUP(AR$7,$D$9:$G49,ROW()-8,0)+AU$8),0)+ROUND(AT49*AU$8,0)</f>
        <v>#N/A</v>
      </c>
      <c r="AV49" s="53"/>
      <c r="AW49" s="56"/>
      <c r="AX49" s="56"/>
      <c r="AY49" s="83" t="e">
        <f>ROUND(AV49*(HLOOKUP(AV$7,$D$9:$G49,ROW()-8,0)+AY$8),0)+ROUND(AX49*AY$8,0)</f>
        <v>#N/A</v>
      </c>
      <c r="AZ49" s="53"/>
      <c r="BA49" s="56"/>
      <c r="BB49" s="56"/>
      <c r="BC49" s="83" t="e">
        <f>ROUND(AZ49*(HLOOKUP(AZ$7,$D$9:$G49,ROW()-8,0)+BC$8),0)+ROUND(BB49*BC$8,0)</f>
        <v>#N/A</v>
      </c>
      <c r="BD49" s="53"/>
      <c r="BE49" s="56"/>
      <c r="BF49" s="56"/>
      <c r="BG49" s="83" t="e">
        <f>ROUND(BD49*(HLOOKUP(BD$7,$D$9:$G49,ROW()-8,0)+BG$8),0)+ROUND(BF49*BG$8,0)</f>
        <v>#N/A</v>
      </c>
      <c r="BH49" s="53"/>
      <c r="BI49" s="56"/>
      <c r="BJ49" s="56"/>
      <c r="BK49" s="83" t="e">
        <f>ROUND(BH49*(HLOOKUP(BH$7,$D$9:$G49,ROW()-8,0)+BK$8),0)+ROUND(BJ49*BK$8,0)</f>
        <v>#N/A</v>
      </c>
      <c r="BL49" s="53"/>
      <c r="BM49" s="56"/>
      <c r="BN49" s="56"/>
      <c r="BO49" s="83" t="e">
        <f>ROUND(BL49*(HLOOKUP(BL$7,$D$9:$G49,ROW()-8,0)+BO$8),0)+ROUND(BN49*BO$8,0)</f>
        <v>#N/A</v>
      </c>
      <c r="BP49" s="53"/>
      <c r="BQ49" s="56"/>
      <c r="BR49" s="56"/>
      <c r="BS49" s="83" t="e">
        <f>ROUND(BP49*(HLOOKUP(BP$7,$D$9:$G49,ROW()-8,0)+BS$8),0)+ROUND(BR49*BS$8,0)</f>
        <v>#N/A</v>
      </c>
      <c r="BT49" s="54">
        <f t="shared" si="2"/>
        <v>0</v>
      </c>
      <c r="BU49" s="54">
        <f t="shared" si="2"/>
        <v>0</v>
      </c>
      <c r="BV49" s="54">
        <f t="shared" si="2"/>
        <v>0</v>
      </c>
      <c r="BW49" s="54">
        <f t="shared" si="2"/>
        <v>0</v>
      </c>
      <c r="BX49" s="63"/>
      <c r="BY49" s="107"/>
      <c r="BZ49" s="57" t="e">
        <f t="shared" si="1"/>
        <v>#DIV/0!</v>
      </c>
    </row>
    <row r="50" spans="3:78" ht="17.25">
      <c r="C50" s="64"/>
      <c r="D50" s="105"/>
      <c r="E50" s="106"/>
      <c r="F50" s="106"/>
      <c r="G50" s="110"/>
      <c r="H50" s="95"/>
      <c r="I50" s="56"/>
      <c r="J50" s="56"/>
      <c r="K50" s="83" t="e">
        <f>ROUND(H50*(HLOOKUP(H$7,$D$9:$G50,ROW()-8,0)+K$8),0)+ROUND(J50*K$8,0)</f>
        <v>#N/A</v>
      </c>
      <c r="L50" s="53"/>
      <c r="M50" s="56"/>
      <c r="N50" s="56"/>
      <c r="O50" s="83" t="e">
        <f>ROUND(L50*(HLOOKUP(L$7,$D$9:$G50,ROW()-8,0)+O$8),0)+ROUND(N50*O$8,0)</f>
        <v>#N/A</v>
      </c>
      <c r="P50" s="53"/>
      <c r="Q50" s="56"/>
      <c r="R50" s="56"/>
      <c r="S50" s="83" t="e">
        <f>ROUND(P50*(HLOOKUP(P$7,$D$9:$G50,ROW()-8,0)+S$8),0)+ROUND(R50*S$8,0)</f>
        <v>#N/A</v>
      </c>
      <c r="T50" s="53"/>
      <c r="U50" s="56"/>
      <c r="V50" s="56"/>
      <c r="W50" s="83" t="e">
        <f>ROUND(T50*(HLOOKUP(T$7,$D$9:$G50,ROW()-8,0)+W$8),0)+ROUND(V50*W$8,0)</f>
        <v>#N/A</v>
      </c>
      <c r="X50" s="53"/>
      <c r="Y50" s="56"/>
      <c r="Z50" s="56"/>
      <c r="AA50" s="83" t="e">
        <f>ROUND(X50*(HLOOKUP(X$7,$D$9:$G50,ROW()-8,0)+AA$8),0)+ROUND(Z50*AA$8,0)</f>
        <v>#N/A</v>
      </c>
      <c r="AB50" s="53"/>
      <c r="AC50" s="56"/>
      <c r="AD50" s="56"/>
      <c r="AE50" s="83" t="e">
        <f>ROUND(AB50*(HLOOKUP(AB$7,$D$9:$G50,ROW()-8,0)+AE$8),0)+ROUND(AD50*AE$8,0)</f>
        <v>#N/A</v>
      </c>
      <c r="AF50" s="53"/>
      <c r="AG50" s="56"/>
      <c r="AH50" s="56"/>
      <c r="AI50" s="83" t="e">
        <f>ROUND(AF50*(HLOOKUP(AF$7,$D$9:$G50,ROW()-8,0)+AI$8),0)+ROUND(AH50*AI$8,0)</f>
        <v>#N/A</v>
      </c>
      <c r="AJ50" s="53"/>
      <c r="AK50" s="56"/>
      <c r="AL50" s="56"/>
      <c r="AM50" s="83" t="e">
        <f>ROUND(AJ50*(HLOOKUP(AJ$7,$D$9:$G50,ROW()-8,0)+AM$8),0)+ROUND(AL50*AM$8,0)</f>
        <v>#N/A</v>
      </c>
      <c r="AN50" s="53"/>
      <c r="AO50" s="56"/>
      <c r="AP50" s="56"/>
      <c r="AQ50" s="83" t="e">
        <f>ROUND(AN50*(HLOOKUP(AN$7,$D$9:$G50,ROW()-8,0)+AQ$8),0)+ROUND(AP50*AQ$8,0)</f>
        <v>#N/A</v>
      </c>
      <c r="AR50" s="53"/>
      <c r="AS50" s="56"/>
      <c r="AT50" s="56"/>
      <c r="AU50" s="83" t="e">
        <f>ROUND(AR50*(HLOOKUP(AR$7,$D$9:$G50,ROW()-8,0)+AU$8),0)+ROUND(AT50*AU$8,0)</f>
        <v>#N/A</v>
      </c>
      <c r="AV50" s="53"/>
      <c r="AW50" s="56"/>
      <c r="AX50" s="56"/>
      <c r="AY50" s="83" t="e">
        <f>ROUND(AV50*(HLOOKUP(AV$7,$D$9:$G50,ROW()-8,0)+AY$8),0)+ROUND(AX50*AY$8,0)</f>
        <v>#N/A</v>
      </c>
      <c r="AZ50" s="53"/>
      <c r="BA50" s="56"/>
      <c r="BB50" s="56"/>
      <c r="BC50" s="83" t="e">
        <f>ROUND(AZ50*(HLOOKUP(AZ$7,$D$9:$G50,ROW()-8,0)+BC$8),0)+ROUND(BB50*BC$8,0)</f>
        <v>#N/A</v>
      </c>
      <c r="BD50" s="53"/>
      <c r="BE50" s="56"/>
      <c r="BF50" s="56"/>
      <c r="BG50" s="83" t="e">
        <f>ROUND(BD50*(HLOOKUP(BD$7,$D$9:$G50,ROW()-8,0)+BG$8),0)+ROUND(BF50*BG$8,0)</f>
        <v>#N/A</v>
      </c>
      <c r="BH50" s="53"/>
      <c r="BI50" s="56"/>
      <c r="BJ50" s="56"/>
      <c r="BK50" s="83" t="e">
        <f>ROUND(BH50*(HLOOKUP(BH$7,$D$9:$G50,ROW()-8,0)+BK$8),0)+ROUND(BJ50*BK$8,0)</f>
        <v>#N/A</v>
      </c>
      <c r="BL50" s="53"/>
      <c r="BM50" s="56"/>
      <c r="BN50" s="56"/>
      <c r="BO50" s="83" t="e">
        <f>ROUND(BL50*(HLOOKUP(BL$7,$D$9:$G50,ROW()-8,0)+BO$8),0)+ROUND(BN50*BO$8,0)</f>
        <v>#N/A</v>
      </c>
      <c r="BP50" s="53"/>
      <c r="BQ50" s="56"/>
      <c r="BR50" s="56"/>
      <c r="BS50" s="83" t="e">
        <f>ROUND(BP50*(HLOOKUP(BP$7,$D$9:$G50,ROW()-8,0)+BS$8),0)+ROUND(BR50*BS$8,0)</f>
        <v>#N/A</v>
      </c>
      <c r="BT50" s="54">
        <f t="shared" si="2"/>
        <v>0</v>
      </c>
      <c r="BU50" s="54">
        <f t="shared" si="2"/>
        <v>0</v>
      </c>
      <c r="BV50" s="54">
        <f t="shared" si="2"/>
        <v>0</v>
      </c>
      <c r="BW50" s="54">
        <f t="shared" si="2"/>
        <v>0</v>
      </c>
      <c r="BX50" s="63"/>
      <c r="BY50" s="107"/>
      <c r="BZ50" s="57" t="e">
        <f t="shared" si="1"/>
        <v>#DIV/0!</v>
      </c>
    </row>
    <row r="51" spans="3:78" ht="17.25">
      <c r="C51" s="64"/>
      <c r="D51" s="105"/>
      <c r="E51" s="106"/>
      <c r="F51" s="106"/>
      <c r="G51" s="110"/>
      <c r="H51" s="95"/>
      <c r="I51" s="56"/>
      <c r="J51" s="56"/>
      <c r="K51" s="83" t="e">
        <f>ROUND(H51*(HLOOKUP(H$7,$D$9:$G51,ROW()-8,0)+K$8),0)+ROUND(J51*K$8,0)</f>
        <v>#N/A</v>
      </c>
      <c r="L51" s="53"/>
      <c r="M51" s="56"/>
      <c r="N51" s="56"/>
      <c r="O51" s="83" t="e">
        <f>ROUND(L51*(HLOOKUP(L$7,$D$9:$G51,ROW()-8,0)+O$8),0)+ROUND(N51*O$8,0)</f>
        <v>#N/A</v>
      </c>
      <c r="P51" s="53"/>
      <c r="Q51" s="56"/>
      <c r="R51" s="56"/>
      <c r="S51" s="83" t="e">
        <f>ROUND(P51*(HLOOKUP(P$7,$D$9:$G51,ROW()-8,0)+S$8),0)+ROUND(R51*S$8,0)</f>
        <v>#N/A</v>
      </c>
      <c r="T51" s="53"/>
      <c r="U51" s="56"/>
      <c r="V51" s="56"/>
      <c r="W51" s="83" t="e">
        <f>ROUND(T51*(HLOOKUP(T$7,$D$9:$G51,ROW()-8,0)+W$8),0)+ROUND(V51*W$8,0)</f>
        <v>#N/A</v>
      </c>
      <c r="X51" s="53"/>
      <c r="Y51" s="56"/>
      <c r="Z51" s="56"/>
      <c r="AA51" s="83" t="e">
        <f>ROUND(X51*(HLOOKUP(X$7,$D$9:$G51,ROW()-8,0)+AA$8),0)+ROUND(Z51*AA$8,0)</f>
        <v>#N/A</v>
      </c>
      <c r="AB51" s="53"/>
      <c r="AC51" s="56"/>
      <c r="AD51" s="56"/>
      <c r="AE51" s="83" t="e">
        <f>ROUND(AB51*(HLOOKUP(AB$7,$D$9:$G51,ROW()-8,0)+AE$8),0)+ROUND(AD51*AE$8,0)</f>
        <v>#N/A</v>
      </c>
      <c r="AF51" s="53"/>
      <c r="AG51" s="56"/>
      <c r="AH51" s="56"/>
      <c r="AI51" s="83" t="e">
        <f>ROUND(AF51*(HLOOKUP(AF$7,$D$9:$G51,ROW()-8,0)+AI$8),0)+ROUND(AH51*AI$8,0)</f>
        <v>#N/A</v>
      </c>
      <c r="AJ51" s="53"/>
      <c r="AK51" s="56"/>
      <c r="AL51" s="56"/>
      <c r="AM51" s="83" t="e">
        <f>ROUND(AJ51*(HLOOKUP(AJ$7,$D$9:$G51,ROW()-8,0)+AM$8),0)+ROUND(AL51*AM$8,0)</f>
        <v>#N/A</v>
      </c>
      <c r="AN51" s="53"/>
      <c r="AO51" s="56"/>
      <c r="AP51" s="56"/>
      <c r="AQ51" s="83" t="e">
        <f>ROUND(AN51*(HLOOKUP(AN$7,$D$9:$G51,ROW()-8,0)+AQ$8),0)+ROUND(AP51*AQ$8,0)</f>
        <v>#N/A</v>
      </c>
      <c r="AR51" s="53"/>
      <c r="AS51" s="56"/>
      <c r="AT51" s="56"/>
      <c r="AU51" s="83" t="e">
        <f>ROUND(AR51*(HLOOKUP(AR$7,$D$9:$G51,ROW()-8,0)+AU$8),0)+ROUND(AT51*AU$8,0)</f>
        <v>#N/A</v>
      </c>
      <c r="AV51" s="53"/>
      <c r="AW51" s="56"/>
      <c r="AX51" s="56"/>
      <c r="AY51" s="83" t="e">
        <f>ROUND(AV51*(HLOOKUP(AV$7,$D$9:$G51,ROW()-8,0)+AY$8),0)+ROUND(AX51*AY$8,0)</f>
        <v>#N/A</v>
      </c>
      <c r="AZ51" s="53"/>
      <c r="BA51" s="56"/>
      <c r="BB51" s="56"/>
      <c r="BC51" s="83" t="e">
        <f>ROUND(AZ51*(HLOOKUP(AZ$7,$D$9:$G51,ROW()-8,0)+BC$8),0)+ROUND(BB51*BC$8,0)</f>
        <v>#N/A</v>
      </c>
      <c r="BD51" s="53"/>
      <c r="BE51" s="56"/>
      <c r="BF51" s="56"/>
      <c r="BG51" s="83" t="e">
        <f>ROUND(BD51*(HLOOKUP(BD$7,$D$9:$G51,ROW()-8,0)+BG$8),0)+ROUND(BF51*BG$8,0)</f>
        <v>#N/A</v>
      </c>
      <c r="BH51" s="53"/>
      <c r="BI51" s="56"/>
      <c r="BJ51" s="56"/>
      <c r="BK51" s="83" t="e">
        <f>ROUND(BH51*(HLOOKUP(BH$7,$D$9:$G51,ROW()-8,0)+BK$8),0)+ROUND(BJ51*BK$8,0)</f>
        <v>#N/A</v>
      </c>
      <c r="BL51" s="53"/>
      <c r="BM51" s="56"/>
      <c r="BN51" s="56"/>
      <c r="BO51" s="83" t="e">
        <f>ROUND(BL51*(HLOOKUP(BL$7,$D$9:$G51,ROW()-8,0)+BO$8),0)+ROUND(BN51*BO$8,0)</f>
        <v>#N/A</v>
      </c>
      <c r="BP51" s="53"/>
      <c r="BQ51" s="56"/>
      <c r="BR51" s="56"/>
      <c r="BS51" s="83" t="e">
        <f>ROUND(BP51*(HLOOKUP(BP$7,$D$9:$G51,ROW()-8,0)+BS$8),0)+ROUND(BR51*BS$8,0)</f>
        <v>#N/A</v>
      </c>
      <c r="BT51" s="54">
        <f t="shared" si="2"/>
        <v>0</v>
      </c>
      <c r="BU51" s="54">
        <f t="shared" si="2"/>
        <v>0</v>
      </c>
      <c r="BV51" s="54">
        <f t="shared" si="2"/>
        <v>0</v>
      </c>
      <c r="BW51" s="54">
        <f t="shared" si="2"/>
        <v>0</v>
      </c>
      <c r="BX51" s="63"/>
      <c r="BY51" s="107"/>
      <c r="BZ51" s="57" t="e">
        <f t="shared" si="1"/>
        <v>#DIV/0!</v>
      </c>
    </row>
    <row r="52" spans="3:78" ht="17.25">
      <c r="C52" s="64"/>
      <c r="D52" s="105"/>
      <c r="E52" s="106"/>
      <c r="F52" s="106"/>
      <c r="G52" s="110"/>
      <c r="H52" s="95"/>
      <c r="I52" s="56"/>
      <c r="J52" s="56"/>
      <c r="K52" s="83" t="e">
        <f>ROUND(H52*(HLOOKUP(H$7,$D$9:$G52,ROW()-8,0)+K$8),0)+ROUND(J52*K$8,0)</f>
        <v>#N/A</v>
      </c>
      <c r="L52" s="53"/>
      <c r="M52" s="56"/>
      <c r="N52" s="56"/>
      <c r="O52" s="83" t="e">
        <f>ROUND(L52*(HLOOKUP(L$7,$D$9:$G52,ROW()-8,0)+O$8),0)+ROUND(N52*O$8,0)</f>
        <v>#N/A</v>
      </c>
      <c r="P52" s="53"/>
      <c r="Q52" s="56"/>
      <c r="R52" s="56"/>
      <c r="S52" s="83" t="e">
        <f>ROUND(P52*(HLOOKUP(P$7,$D$9:$G52,ROW()-8,0)+S$8),0)+ROUND(R52*S$8,0)</f>
        <v>#N/A</v>
      </c>
      <c r="T52" s="53"/>
      <c r="U52" s="56"/>
      <c r="V52" s="56"/>
      <c r="W52" s="83" t="e">
        <f>ROUND(T52*(HLOOKUP(T$7,$D$9:$G52,ROW()-8,0)+W$8),0)+ROUND(V52*W$8,0)</f>
        <v>#N/A</v>
      </c>
      <c r="X52" s="53"/>
      <c r="Y52" s="56"/>
      <c r="Z52" s="56"/>
      <c r="AA52" s="83" t="e">
        <f>ROUND(X52*(HLOOKUP(X$7,$D$9:$G52,ROW()-8,0)+AA$8),0)+ROUND(Z52*AA$8,0)</f>
        <v>#N/A</v>
      </c>
      <c r="AB52" s="53"/>
      <c r="AC52" s="56"/>
      <c r="AD52" s="56"/>
      <c r="AE52" s="83" t="e">
        <f>ROUND(AB52*(HLOOKUP(AB$7,$D$9:$G52,ROW()-8,0)+AE$8),0)+ROUND(AD52*AE$8,0)</f>
        <v>#N/A</v>
      </c>
      <c r="AF52" s="53"/>
      <c r="AG52" s="56"/>
      <c r="AH52" s="56"/>
      <c r="AI52" s="83" t="e">
        <f>ROUND(AF52*(HLOOKUP(AF$7,$D$9:$G52,ROW()-8,0)+AI$8),0)+ROUND(AH52*AI$8,0)</f>
        <v>#N/A</v>
      </c>
      <c r="AJ52" s="53"/>
      <c r="AK52" s="56"/>
      <c r="AL52" s="56"/>
      <c r="AM52" s="83" t="e">
        <f>ROUND(AJ52*(HLOOKUP(AJ$7,$D$9:$G52,ROW()-8,0)+AM$8),0)+ROUND(AL52*AM$8,0)</f>
        <v>#N/A</v>
      </c>
      <c r="AN52" s="53"/>
      <c r="AO52" s="56"/>
      <c r="AP52" s="56"/>
      <c r="AQ52" s="83" t="e">
        <f>ROUND(AN52*(HLOOKUP(AN$7,$D$9:$G52,ROW()-8,0)+AQ$8),0)+ROUND(AP52*AQ$8,0)</f>
        <v>#N/A</v>
      </c>
      <c r="AR52" s="53"/>
      <c r="AS52" s="56"/>
      <c r="AT52" s="56"/>
      <c r="AU52" s="83" t="e">
        <f>ROUND(AR52*(HLOOKUP(AR$7,$D$9:$G52,ROW()-8,0)+AU$8),0)+ROUND(AT52*AU$8,0)</f>
        <v>#N/A</v>
      </c>
      <c r="AV52" s="53"/>
      <c r="AW52" s="56"/>
      <c r="AX52" s="56"/>
      <c r="AY52" s="83" t="e">
        <f>ROUND(AV52*(HLOOKUP(AV$7,$D$9:$G52,ROW()-8,0)+AY$8),0)+ROUND(AX52*AY$8,0)</f>
        <v>#N/A</v>
      </c>
      <c r="AZ52" s="53"/>
      <c r="BA52" s="56"/>
      <c r="BB52" s="56"/>
      <c r="BC52" s="83" t="e">
        <f>ROUND(AZ52*(HLOOKUP(AZ$7,$D$9:$G52,ROW()-8,0)+BC$8),0)+ROUND(BB52*BC$8,0)</f>
        <v>#N/A</v>
      </c>
      <c r="BD52" s="53"/>
      <c r="BE52" s="56"/>
      <c r="BF52" s="56"/>
      <c r="BG52" s="83" t="e">
        <f>ROUND(BD52*(HLOOKUP(BD$7,$D$9:$G52,ROW()-8,0)+BG$8),0)+ROUND(BF52*BG$8,0)</f>
        <v>#N/A</v>
      </c>
      <c r="BH52" s="53"/>
      <c r="BI52" s="56"/>
      <c r="BJ52" s="56"/>
      <c r="BK52" s="83" t="e">
        <f>ROUND(BH52*(HLOOKUP(BH$7,$D$9:$G52,ROW()-8,0)+BK$8),0)+ROUND(BJ52*BK$8,0)</f>
        <v>#N/A</v>
      </c>
      <c r="BL52" s="53"/>
      <c r="BM52" s="56"/>
      <c r="BN52" s="56"/>
      <c r="BO52" s="83" t="e">
        <f>ROUND(BL52*(HLOOKUP(BL$7,$D$9:$G52,ROW()-8,0)+BO$8),0)+ROUND(BN52*BO$8,0)</f>
        <v>#N/A</v>
      </c>
      <c r="BP52" s="53"/>
      <c r="BQ52" s="56"/>
      <c r="BR52" s="56"/>
      <c r="BS52" s="83" t="e">
        <f>ROUND(BP52*(HLOOKUP(BP$7,$D$9:$G52,ROW()-8,0)+BS$8),0)+ROUND(BR52*BS$8,0)</f>
        <v>#N/A</v>
      </c>
      <c r="BT52" s="54">
        <f t="shared" si="2"/>
        <v>0</v>
      </c>
      <c r="BU52" s="54">
        <f t="shared" si="2"/>
        <v>0</v>
      </c>
      <c r="BV52" s="54">
        <f t="shared" si="2"/>
        <v>0</v>
      </c>
      <c r="BW52" s="54">
        <f t="shared" si="2"/>
        <v>0</v>
      </c>
      <c r="BX52" s="63"/>
      <c r="BY52" s="107"/>
      <c r="BZ52" s="57" t="e">
        <f t="shared" si="1"/>
        <v>#DIV/0!</v>
      </c>
    </row>
    <row r="53" spans="3:78" ht="17.25">
      <c r="C53" s="64"/>
      <c r="D53" s="105"/>
      <c r="E53" s="106"/>
      <c r="F53" s="106"/>
      <c r="G53" s="110"/>
      <c r="H53" s="95"/>
      <c r="I53" s="56"/>
      <c r="J53" s="56"/>
      <c r="K53" s="83" t="e">
        <f>ROUND(H53*(HLOOKUP(H$7,$D$9:$G53,ROW()-8,0)+K$8),0)+ROUND(J53*K$8,0)</f>
        <v>#N/A</v>
      </c>
      <c r="L53" s="53"/>
      <c r="M53" s="56"/>
      <c r="N53" s="56"/>
      <c r="O53" s="83" t="e">
        <f>ROUND(L53*(HLOOKUP(L$7,$D$9:$G53,ROW()-8,0)+O$8),0)+ROUND(N53*O$8,0)</f>
        <v>#N/A</v>
      </c>
      <c r="P53" s="53"/>
      <c r="Q53" s="56"/>
      <c r="R53" s="56"/>
      <c r="S53" s="83" t="e">
        <f>ROUND(P53*(HLOOKUP(P$7,$D$9:$G53,ROW()-8,0)+S$8),0)+ROUND(R53*S$8,0)</f>
        <v>#N/A</v>
      </c>
      <c r="T53" s="53"/>
      <c r="U53" s="56"/>
      <c r="V53" s="56"/>
      <c r="W53" s="83" t="e">
        <f>ROUND(T53*(HLOOKUP(T$7,$D$9:$G53,ROW()-8,0)+W$8),0)+ROUND(V53*W$8,0)</f>
        <v>#N/A</v>
      </c>
      <c r="X53" s="53"/>
      <c r="Y53" s="56"/>
      <c r="Z53" s="56"/>
      <c r="AA53" s="83" t="e">
        <f>ROUND(X53*(HLOOKUP(X$7,$D$9:$G53,ROW()-8,0)+AA$8),0)+ROUND(Z53*AA$8,0)</f>
        <v>#N/A</v>
      </c>
      <c r="AB53" s="53"/>
      <c r="AC53" s="56"/>
      <c r="AD53" s="56"/>
      <c r="AE53" s="83" t="e">
        <f>ROUND(AB53*(HLOOKUP(AB$7,$D$9:$G53,ROW()-8,0)+AE$8),0)+ROUND(AD53*AE$8,0)</f>
        <v>#N/A</v>
      </c>
      <c r="AF53" s="53"/>
      <c r="AG53" s="56"/>
      <c r="AH53" s="56"/>
      <c r="AI53" s="83" t="e">
        <f>ROUND(AF53*(HLOOKUP(AF$7,$D$9:$G53,ROW()-8,0)+AI$8),0)+ROUND(AH53*AI$8,0)</f>
        <v>#N/A</v>
      </c>
      <c r="AJ53" s="53"/>
      <c r="AK53" s="56"/>
      <c r="AL53" s="56"/>
      <c r="AM53" s="83" t="e">
        <f>ROUND(AJ53*(HLOOKUP(AJ$7,$D$9:$G53,ROW()-8,0)+AM$8),0)+ROUND(AL53*AM$8,0)</f>
        <v>#N/A</v>
      </c>
      <c r="AN53" s="53"/>
      <c r="AO53" s="56"/>
      <c r="AP53" s="56"/>
      <c r="AQ53" s="83" t="e">
        <f>ROUND(AN53*(HLOOKUP(AN$7,$D$9:$G53,ROW()-8,0)+AQ$8),0)+ROUND(AP53*AQ$8,0)</f>
        <v>#N/A</v>
      </c>
      <c r="AR53" s="53"/>
      <c r="AS53" s="56"/>
      <c r="AT53" s="56"/>
      <c r="AU53" s="83" t="e">
        <f>ROUND(AR53*(HLOOKUP(AR$7,$D$9:$G53,ROW()-8,0)+AU$8),0)+ROUND(AT53*AU$8,0)</f>
        <v>#N/A</v>
      </c>
      <c r="AV53" s="53"/>
      <c r="AW53" s="56"/>
      <c r="AX53" s="56"/>
      <c r="AY53" s="83" t="e">
        <f>ROUND(AV53*(HLOOKUP(AV$7,$D$9:$G53,ROW()-8,0)+AY$8),0)+ROUND(AX53*AY$8,0)</f>
        <v>#N/A</v>
      </c>
      <c r="AZ53" s="53"/>
      <c r="BA53" s="56"/>
      <c r="BB53" s="56"/>
      <c r="BC53" s="83" t="e">
        <f>ROUND(AZ53*(HLOOKUP(AZ$7,$D$9:$G53,ROW()-8,0)+BC$8),0)+ROUND(BB53*BC$8,0)</f>
        <v>#N/A</v>
      </c>
      <c r="BD53" s="53"/>
      <c r="BE53" s="56"/>
      <c r="BF53" s="56"/>
      <c r="BG53" s="83" t="e">
        <f>ROUND(BD53*(HLOOKUP(BD$7,$D$9:$G53,ROW()-8,0)+BG$8),0)+ROUND(BF53*BG$8,0)</f>
        <v>#N/A</v>
      </c>
      <c r="BH53" s="53"/>
      <c r="BI53" s="56"/>
      <c r="BJ53" s="56"/>
      <c r="BK53" s="83" t="e">
        <f>ROUND(BH53*(HLOOKUP(BH$7,$D$9:$G53,ROW()-8,0)+BK$8),0)+ROUND(BJ53*BK$8,0)</f>
        <v>#N/A</v>
      </c>
      <c r="BL53" s="53"/>
      <c r="BM53" s="56"/>
      <c r="BN53" s="56"/>
      <c r="BO53" s="83" t="e">
        <f>ROUND(BL53*(HLOOKUP(BL$7,$D$9:$G53,ROW()-8,0)+BO$8),0)+ROUND(BN53*BO$8,0)</f>
        <v>#N/A</v>
      </c>
      <c r="BP53" s="53"/>
      <c r="BQ53" s="56"/>
      <c r="BR53" s="56"/>
      <c r="BS53" s="83" t="e">
        <f>ROUND(BP53*(HLOOKUP(BP$7,$D$9:$G53,ROW()-8,0)+BS$8),0)+ROUND(BR53*BS$8,0)</f>
        <v>#N/A</v>
      </c>
      <c r="BT53" s="54">
        <f t="shared" si="2"/>
        <v>0</v>
      </c>
      <c r="BU53" s="54">
        <f t="shared" si="2"/>
        <v>0</v>
      </c>
      <c r="BV53" s="54">
        <f t="shared" si="2"/>
        <v>0</v>
      </c>
      <c r="BW53" s="54">
        <f t="shared" si="2"/>
        <v>0</v>
      </c>
      <c r="BX53" s="63"/>
      <c r="BY53" s="107"/>
      <c r="BZ53" s="57" t="e">
        <f t="shared" si="1"/>
        <v>#DIV/0!</v>
      </c>
    </row>
    <row r="54" spans="3:78" ht="17.25">
      <c r="C54" s="64"/>
      <c r="D54" s="105"/>
      <c r="E54" s="106"/>
      <c r="F54" s="106"/>
      <c r="G54" s="110"/>
      <c r="H54" s="95"/>
      <c r="I54" s="56"/>
      <c r="J54" s="56"/>
      <c r="K54" s="83" t="e">
        <f>ROUND(H54*(HLOOKUP(H$7,$D$9:$G54,ROW()-8,0)+K$8),0)+ROUND(J54*K$8,0)</f>
        <v>#N/A</v>
      </c>
      <c r="L54" s="53"/>
      <c r="M54" s="56"/>
      <c r="N54" s="56"/>
      <c r="O54" s="83" t="e">
        <f>ROUND(L54*(HLOOKUP(L$7,$D$9:$G54,ROW()-8,0)+O$8),0)+ROUND(N54*O$8,0)</f>
        <v>#N/A</v>
      </c>
      <c r="P54" s="53"/>
      <c r="Q54" s="56"/>
      <c r="R54" s="56"/>
      <c r="S54" s="83" t="e">
        <f>ROUND(P54*(HLOOKUP(P$7,$D$9:$G54,ROW()-8,0)+S$8),0)+ROUND(R54*S$8,0)</f>
        <v>#N/A</v>
      </c>
      <c r="T54" s="53"/>
      <c r="U54" s="56"/>
      <c r="V54" s="56"/>
      <c r="W54" s="83" t="e">
        <f>ROUND(T54*(HLOOKUP(T$7,$D$9:$G54,ROW()-8,0)+W$8),0)+ROUND(V54*W$8,0)</f>
        <v>#N/A</v>
      </c>
      <c r="X54" s="53"/>
      <c r="Y54" s="56"/>
      <c r="Z54" s="56"/>
      <c r="AA54" s="83" t="e">
        <f>ROUND(X54*(HLOOKUP(X$7,$D$9:$G54,ROW()-8,0)+AA$8),0)+ROUND(Z54*AA$8,0)</f>
        <v>#N/A</v>
      </c>
      <c r="AB54" s="53"/>
      <c r="AC54" s="56"/>
      <c r="AD54" s="56"/>
      <c r="AE54" s="83" t="e">
        <f>ROUND(AB54*(HLOOKUP(AB$7,$D$9:$G54,ROW()-8,0)+AE$8),0)+ROUND(AD54*AE$8,0)</f>
        <v>#N/A</v>
      </c>
      <c r="AF54" s="53"/>
      <c r="AG54" s="56"/>
      <c r="AH54" s="56"/>
      <c r="AI54" s="83" t="e">
        <f>ROUND(AF54*(HLOOKUP(AF$7,$D$9:$G54,ROW()-8,0)+AI$8),0)+ROUND(AH54*AI$8,0)</f>
        <v>#N/A</v>
      </c>
      <c r="AJ54" s="53"/>
      <c r="AK54" s="56"/>
      <c r="AL54" s="56"/>
      <c r="AM54" s="83" t="e">
        <f>ROUND(AJ54*(HLOOKUP(AJ$7,$D$9:$G54,ROW()-8,0)+AM$8),0)+ROUND(AL54*AM$8,0)</f>
        <v>#N/A</v>
      </c>
      <c r="AN54" s="53"/>
      <c r="AO54" s="56"/>
      <c r="AP54" s="56"/>
      <c r="AQ54" s="83" t="e">
        <f>ROUND(AN54*(HLOOKUP(AN$7,$D$9:$G54,ROW()-8,0)+AQ$8),0)+ROUND(AP54*AQ$8,0)</f>
        <v>#N/A</v>
      </c>
      <c r="AR54" s="53"/>
      <c r="AS54" s="56"/>
      <c r="AT54" s="56"/>
      <c r="AU54" s="83" t="e">
        <f>ROUND(AR54*(HLOOKUP(AR$7,$D$9:$G54,ROW()-8,0)+AU$8),0)+ROUND(AT54*AU$8,0)</f>
        <v>#N/A</v>
      </c>
      <c r="AV54" s="53"/>
      <c r="AW54" s="56"/>
      <c r="AX54" s="56"/>
      <c r="AY54" s="83" t="e">
        <f>ROUND(AV54*(HLOOKUP(AV$7,$D$9:$G54,ROW()-8,0)+AY$8),0)+ROUND(AX54*AY$8,0)</f>
        <v>#N/A</v>
      </c>
      <c r="AZ54" s="53"/>
      <c r="BA54" s="56"/>
      <c r="BB54" s="56"/>
      <c r="BC54" s="83" t="e">
        <f>ROUND(AZ54*(HLOOKUP(AZ$7,$D$9:$G54,ROW()-8,0)+BC$8),0)+ROUND(BB54*BC$8,0)</f>
        <v>#N/A</v>
      </c>
      <c r="BD54" s="53"/>
      <c r="BE54" s="56"/>
      <c r="BF54" s="56"/>
      <c r="BG54" s="83" t="e">
        <f>ROUND(BD54*(HLOOKUP(BD$7,$D$9:$G54,ROW()-8,0)+BG$8),0)+ROUND(BF54*BG$8,0)</f>
        <v>#N/A</v>
      </c>
      <c r="BH54" s="53"/>
      <c r="BI54" s="56"/>
      <c r="BJ54" s="56"/>
      <c r="BK54" s="83" t="e">
        <f>ROUND(BH54*(HLOOKUP(BH$7,$D$9:$G54,ROW()-8,0)+BK$8),0)+ROUND(BJ54*BK$8,0)</f>
        <v>#N/A</v>
      </c>
      <c r="BL54" s="53"/>
      <c r="BM54" s="56"/>
      <c r="BN54" s="56"/>
      <c r="BO54" s="83" t="e">
        <f>ROUND(BL54*(HLOOKUP(BL$7,$D$9:$G54,ROW()-8,0)+BO$8),0)+ROUND(BN54*BO$8,0)</f>
        <v>#N/A</v>
      </c>
      <c r="BP54" s="53"/>
      <c r="BQ54" s="56"/>
      <c r="BR54" s="56"/>
      <c r="BS54" s="83" t="e">
        <f>ROUND(BP54*(HLOOKUP(BP$7,$D$9:$G54,ROW()-8,0)+BS$8),0)+ROUND(BR54*BS$8,0)</f>
        <v>#N/A</v>
      </c>
      <c r="BT54" s="54">
        <f t="shared" si="2"/>
        <v>0</v>
      </c>
      <c r="BU54" s="54">
        <f t="shared" si="2"/>
        <v>0</v>
      </c>
      <c r="BV54" s="54">
        <f t="shared" si="2"/>
        <v>0</v>
      </c>
      <c r="BW54" s="54">
        <f t="shared" si="2"/>
        <v>0</v>
      </c>
      <c r="BX54" s="63"/>
      <c r="BY54" s="107"/>
      <c r="BZ54" s="57" t="e">
        <f t="shared" si="1"/>
        <v>#DIV/0!</v>
      </c>
    </row>
    <row r="55" spans="3:78" ht="17.25">
      <c r="C55" s="64"/>
      <c r="D55" s="105"/>
      <c r="E55" s="106"/>
      <c r="F55" s="106"/>
      <c r="G55" s="110"/>
      <c r="H55" s="95"/>
      <c r="I55" s="56"/>
      <c r="J55" s="56"/>
      <c r="K55" s="83" t="e">
        <f>ROUND(H55*(HLOOKUP(H$7,$D$9:$G55,ROW()-8,0)+K$8),0)+ROUND(J55*K$8,0)</f>
        <v>#N/A</v>
      </c>
      <c r="L55" s="53"/>
      <c r="M55" s="56"/>
      <c r="N55" s="56"/>
      <c r="O55" s="83" t="e">
        <f>ROUND(L55*(HLOOKUP(L$7,$D$9:$G55,ROW()-8,0)+O$8),0)+ROUND(N55*O$8,0)</f>
        <v>#N/A</v>
      </c>
      <c r="P55" s="53"/>
      <c r="Q55" s="56"/>
      <c r="R55" s="56"/>
      <c r="S55" s="83" t="e">
        <f>ROUND(P55*(HLOOKUP(P$7,$D$9:$G55,ROW()-8,0)+S$8),0)+ROUND(R55*S$8,0)</f>
        <v>#N/A</v>
      </c>
      <c r="T55" s="53"/>
      <c r="U55" s="56"/>
      <c r="V55" s="56"/>
      <c r="W55" s="83" t="e">
        <f>ROUND(T55*(HLOOKUP(T$7,$D$9:$G55,ROW()-8,0)+W$8),0)+ROUND(V55*W$8,0)</f>
        <v>#N/A</v>
      </c>
      <c r="X55" s="53"/>
      <c r="Y55" s="56"/>
      <c r="Z55" s="56"/>
      <c r="AA55" s="83" t="e">
        <f>ROUND(X55*(HLOOKUP(X$7,$D$9:$G55,ROW()-8,0)+AA$8),0)+ROUND(Z55*AA$8,0)</f>
        <v>#N/A</v>
      </c>
      <c r="AB55" s="53"/>
      <c r="AC55" s="56"/>
      <c r="AD55" s="56"/>
      <c r="AE55" s="83" t="e">
        <f>ROUND(AB55*(HLOOKUP(AB$7,$D$9:$G55,ROW()-8,0)+AE$8),0)+ROUND(AD55*AE$8,0)</f>
        <v>#N/A</v>
      </c>
      <c r="AF55" s="53"/>
      <c r="AG55" s="56"/>
      <c r="AH55" s="56"/>
      <c r="AI55" s="83" t="e">
        <f>ROUND(AF55*(HLOOKUP(AF$7,$D$9:$G55,ROW()-8,0)+AI$8),0)+ROUND(AH55*AI$8,0)</f>
        <v>#N/A</v>
      </c>
      <c r="AJ55" s="53"/>
      <c r="AK55" s="56"/>
      <c r="AL55" s="56"/>
      <c r="AM55" s="83" t="e">
        <f>ROUND(AJ55*(HLOOKUP(AJ$7,$D$9:$G55,ROW()-8,0)+AM$8),0)+ROUND(AL55*AM$8,0)</f>
        <v>#N/A</v>
      </c>
      <c r="AN55" s="53"/>
      <c r="AO55" s="56"/>
      <c r="AP55" s="56"/>
      <c r="AQ55" s="83" t="e">
        <f>ROUND(AN55*(HLOOKUP(AN$7,$D$9:$G55,ROW()-8,0)+AQ$8),0)+ROUND(AP55*AQ$8,0)</f>
        <v>#N/A</v>
      </c>
      <c r="AR55" s="53"/>
      <c r="AS55" s="56"/>
      <c r="AT55" s="56"/>
      <c r="AU55" s="83" t="e">
        <f>ROUND(AR55*(HLOOKUP(AR$7,$D$9:$G55,ROW()-8,0)+AU$8),0)+ROUND(AT55*AU$8,0)</f>
        <v>#N/A</v>
      </c>
      <c r="AV55" s="53"/>
      <c r="AW55" s="56"/>
      <c r="AX55" s="56"/>
      <c r="AY55" s="83" t="e">
        <f>ROUND(AV55*(HLOOKUP(AV$7,$D$9:$G55,ROW()-8,0)+AY$8),0)+ROUND(AX55*AY$8,0)</f>
        <v>#N/A</v>
      </c>
      <c r="AZ55" s="53"/>
      <c r="BA55" s="56"/>
      <c r="BB55" s="56"/>
      <c r="BC55" s="83" t="e">
        <f>ROUND(AZ55*(HLOOKUP(AZ$7,$D$9:$G55,ROW()-8,0)+BC$8),0)+ROUND(BB55*BC$8,0)</f>
        <v>#N/A</v>
      </c>
      <c r="BD55" s="53"/>
      <c r="BE55" s="56"/>
      <c r="BF55" s="56"/>
      <c r="BG55" s="83" t="e">
        <f>ROUND(BD55*(HLOOKUP(BD$7,$D$9:$G55,ROW()-8,0)+BG$8),0)+ROUND(BF55*BG$8,0)</f>
        <v>#N/A</v>
      </c>
      <c r="BH55" s="53"/>
      <c r="BI55" s="56"/>
      <c r="BJ55" s="56"/>
      <c r="BK55" s="83" t="e">
        <f>ROUND(BH55*(HLOOKUP(BH$7,$D$9:$G55,ROW()-8,0)+BK$8),0)+ROUND(BJ55*BK$8,0)</f>
        <v>#N/A</v>
      </c>
      <c r="BL55" s="53"/>
      <c r="BM55" s="56"/>
      <c r="BN55" s="56"/>
      <c r="BO55" s="83" t="e">
        <f>ROUND(BL55*(HLOOKUP(BL$7,$D$9:$G55,ROW()-8,0)+BO$8),0)+ROUND(BN55*BO$8,0)</f>
        <v>#N/A</v>
      </c>
      <c r="BP55" s="53"/>
      <c r="BQ55" s="56"/>
      <c r="BR55" s="56"/>
      <c r="BS55" s="83" t="e">
        <f>ROUND(BP55*(HLOOKUP(BP$7,$D$9:$G55,ROW()-8,0)+BS$8),0)+ROUND(BR55*BS$8,0)</f>
        <v>#N/A</v>
      </c>
      <c r="BT55" s="54">
        <f t="shared" si="2"/>
        <v>0</v>
      </c>
      <c r="BU55" s="54">
        <f t="shared" si="2"/>
        <v>0</v>
      </c>
      <c r="BV55" s="54">
        <f t="shared" si="2"/>
        <v>0</v>
      </c>
      <c r="BW55" s="54">
        <f t="shared" si="2"/>
        <v>0</v>
      </c>
      <c r="BX55" s="63"/>
      <c r="BY55" s="107"/>
      <c r="BZ55" s="57" t="e">
        <f t="shared" si="1"/>
        <v>#DIV/0!</v>
      </c>
    </row>
    <row r="56" spans="3:78" ht="17.25">
      <c r="C56" s="64"/>
      <c r="D56" s="105"/>
      <c r="E56" s="106"/>
      <c r="F56" s="106"/>
      <c r="G56" s="110"/>
      <c r="H56" s="95"/>
      <c r="I56" s="56"/>
      <c r="J56" s="56"/>
      <c r="K56" s="83" t="e">
        <f>ROUND(H56*(HLOOKUP(H$7,$D$9:$G56,ROW()-8,0)+K$8),0)+ROUND(J56*K$8,0)</f>
        <v>#N/A</v>
      </c>
      <c r="L56" s="53"/>
      <c r="M56" s="56"/>
      <c r="N56" s="56"/>
      <c r="O56" s="83" t="e">
        <f>ROUND(L56*(HLOOKUP(L$7,$D$9:$G56,ROW()-8,0)+O$8),0)+ROUND(N56*O$8,0)</f>
        <v>#N/A</v>
      </c>
      <c r="P56" s="53"/>
      <c r="Q56" s="56"/>
      <c r="R56" s="56"/>
      <c r="S56" s="83" t="e">
        <f>ROUND(P56*(HLOOKUP(P$7,$D$9:$G56,ROW()-8,0)+S$8),0)+ROUND(R56*S$8,0)</f>
        <v>#N/A</v>
      </c>
      <c r="T56" s="53"/>
      <c r="U56" s="56"/>
      <c r="V56" s="56"/>
      <c r="W56" s="83" t="e">
        <f>ROUND(T56*(HLOOKUP(T$7,$D$9:$G56,ROW()-8,0)+W$8),0)+ROUND(V56*W$8,0)</f>
        <v>#N/A</v>
      </c>
      <c r="X56" s="53"/>
      <c r="Y56" s="56"/>
      <c r="Z56" s="56"/>
      <c r="AA56" s="83" t="e">
        <f>ROUND(X56*(HLOOKUP(X$7,$D$9:$G56,ROW()-8,0)+AA$8),0)+ROUND(Z56*AA$8,0)</f>
        <v>#N/A</v>
      </c>
      <c r="AB56" s="53"/>
      <c r="AC56" s="56"/>
      <c r="AD56" s="56"/>
      <c r="AE56" s="83" t="e">
        <f>ROUND(AB56*(HLOOKUP(AB$7,$D$9:$G56,ROW()-8,0)+AE$8),0)+ROUND(AD56*AE$8,0)</f>
        <v>#N/A</v>
      </c>
      <c r="AF56" s="53"/>
      <c r="AG56" s="56"/>
      <c r="AH56" s="56"/>
      <c r="AI56" s="83" t="e">
        <f>ROUND(AF56*(HLOOKUP(AF$7,$D$9:$G56,ROW()-8,0)+AI$8),0)+ROUND(AH56*AI$8,0)</f>
        <v>#N/A</v>
      </c>
      <c r="AJ56" s="53"/>
      <c r="AK56" s="56"/>
      <c r="AL56" s="56"/>
      <c r="AM56" s="83" t="e">
        <f>ROUND(AJ56*(HLOOKUP(AJ$7,$D$9:$G56,ROW()-8,0)+AM$8),0)+ROUND(AL56*AM$8,0)</f>
        <v>#N/A</v>
      </c>
      <c r="AN56" s="53"/>
      <c r="AO56" s="56"/>
      <c r="AP56" s="56"/>
      <c r="AQ56" s="83" t="e">
        <f>ROUND(AN56*(HLOOKUP(AN$7,$D$9:$G56,ROW()-8,0)+AQ$8),0)+ROUND(AP56*AQ$8,0)</f>
        <v>#N/A</v>
      </c>
      <c r="AR56" s="53"/>
      <c r="AS56" s="56"/>
      <c r="AT56" s="56"/>
      <c r="AU56" s="83" t="e">
        <f>ROUND(AR56*(HLOOKUP(AR$7,$D$9:$G56,ROW()-8,0)+AU$8),0)+ROUND(AT56*AU$8,0)</f>
        <v>#N/A</v>
      </c>
      <c r="AV56" s="53"/>
      <c r="AW56" s="56"/>
      <c r="AX56" s="56"/>
      <c r="AY56" s="83" t="e">
        <f>ROUND(AV56*(HLOOKUP(AV$7,$D$9:$G56,ROW()-8,0)+AY$8),0)+ROUND(AX56*AY$8,0)</f>
        <v>#N/A</v>
      </c>
      <c r="AZ56" s="53"/>
      <c r="BA56" s="56"/>
      <c r="BB56" s="56"/>
      <c r="BC56" s="83" t="e">
        <f>ROUND(AZ56*(HLOOKUP(AZ$7,$D$9:$G56,ROW()-8,0)+BC$8),0)+ROUND(BB56*BC$8,0)</f>
        <v>#N/A</v>
      </c>
      <c r="BD56" s="53"/>
      <c r="BE56" s="56"/>
      <c r="BF56" s="56"/>
      <c r="BG56" s="83" t="e">
        <f>ROUND(BD56*(HLOOKUP(BD$7,$D$9:$G56,ROW()-8,0)+BG$8),0)+ROUND(BF56*BG$8,0)</f>
        <v>#N/A</v>
      </c>
      <c r="BH56" s="53"/>
      <c r="BI56" s="56"/>
      <c r="BJ56" s="56"/>
      <c r="BK56" s="83" t="e">
        <f>ROUND(BH56*(HLOOKUP(BH$7,$D$9:$G56,ROW()-8,0)+BK$8),0)+ROUND(BJ56*BK$8,0)</f>
        <v>#N/A</v>
      </c>
      <c r="BL56" s="53"/>
      <c r="BM56" s="56"/>
      <c r="BN56" s="56"/>
      <c r="BO56" s="83" t="e">
        <f>ROUND(BL56*(HLOOKUP(BL$7,$D$9:$G56,ROW()-8,0)+BO$8),0)+ROUND(BN56*BO$8,0)</f>
        <v>#N/A</v>
      </c>
      <c r="BP56" s="53"/>
      <c r="BQ56" s="56"/>
      <c r="BR56" s="56"/>
      <c r="BS56" s="83" t="e">
        <f>ROUND(BP56*(HLOOKUP(BP$7,$D$9:$G56,ROW()-8,0)+BS$8),0)+ROUND(BR56*BS$8,0)</f>
        <v>#N/A</v>
      </c>
      <c r="BT56" s="54">
        <f t="shared" si="2"/>
        <v>0</v>
      </c>
      <c r="BU56" s="54">
        <f t="shared" si="2"/>
        <v>0</v>
      </c>
      <c r="BV56" s="54">
        <f t="shared" si="2"/>
        <v>0</v>
      </c>
      <c r="BW56" s="54">
        <f t="shared" si="2"/>
        <v>0</v>
      </c>
      <c r="BX56" s="63"/>
      <c r="BY56" s="107"/>
      <c r="BZ56" s="57" t="e">
        <f t="shared" si="1"/>
        <v>#DIV/0!</v>
      </c>
    </row>
    <row r="57" spans="3:78" ht="17.25">
      <c r="C57" s="64"/>
      <c r="D57" s="105"/>
      <c r="E57" s="106"/>
      <c r="F57" s="106"/>
      <c r="G57" s="110"/>
      <c r="H57" s="95"/>
      <c r="I57" s="56"/>
      <c r="J57" s="56"/>
      <c r="K57" s="83" t="e">
        <f>ROUND(H57*(HLOOKUP(H$7,$D$9:$G57,ROW()-8,0)+K$8),0)+ROUND(J57*K$8,0)</f>
        <v>#N/A</v>
      </c>
      <c r="L57" s="53"/>
      <c r="M57" s="56"/>
      <c r="N57" s="56"/>
      <c r="O57" s="83" t="e">
        <f>ROUND(L57*(HLOOKUP(L$7,$D$9:$G57,ROW()-8,0)+O$8),0)+ROUND(N57*O$8,0)</f>
        <v>#N/A</v>
      </c>
      <c r="P57" s="53"/>
      <c r="Q57" s="56"/>
      <c r="R57" s="56"/>
      <c r="S57" s="83" t="e">
        <f>ROUND(P57*(HLOOKUP(P$7,$D$9:$G57,ROW()-8,0)+S$8),0)+ROUND(R57*S$8,0)</f>
        <v>#N/A</v>
      </c>
      <c r="T57" s="53"/>
      <c r="U57" s="56"/>
      <c r="V57" s="56"/>
      <c r="W57" s="83" t="e">
        <f>ROUND(T57*(HLOOKUP(T$7,$D$9:$G57,ROW()-8,0)+W$8),0)+ROUND(V57*W$8,0)</f>
        <v>#N/A</v>
      </c>
      <c r="X57" s="53"/>
      <c r="Y57" s="56"/>
      <c r="Z57" s="56"/>
      <c r="AA57" s="83" t="e">
        <f>ROUND(X57*(HLOOKUP(X$7,$D$9:$G57,ROW()-8,0)+AA$8),0)+ROUND(Z57*AA$8,0)</f>
        <v>#N/A</v>
      </c>
      <c r="AB57" s="53"/>
      <c r="AC57" s="56"/>
      <c r="AD57" s="56"/>
      <c r="AE57" s="83" t="e">
        <f>ROUND(AB57*(HLOOKUP(AB$7,$D$9:$G57,ROW()-8,0)+AE$8),0)+ROUND(AD57*AE$8,0)</f>
        <v>#N/A</v>
      </c>
      <c r="AF57" s="53"/>
      <c r="AG57" s="56"/>
      <c r="AH57" s="56"/>
      <c r="AI57" s="83" t="e">
        <f>ROUND(AF57*(HLOOKUP(AF$7,$D$9:$G57,ROW()-8,0)+AI$8),0)+ROUND(AH57*AI$8,0)</f>
        <v>#N/A</v>
      </c>
      <c r="AJ57" s="53"/>
      <c r="AK57" s="56"/>
      <c r="AL57" s="56"/>
      <c r="AM57" s="83" t="e">
        <f>ROUND(AJ57*(HLOOKUP(AJ$7,$D$9:$G57,ROW()-8,0)+AM$8),0)+ROUND(AL57*AM$8,0)</f>
        <v>#N/A</v>
      </c>
      <c r="AN57" s="53"/>
      <c r="AO57" s="56"/>
      <c r="AP57" s="56"/>
      <c r="AQ57" s="83" t="e">
        <f>ROUND(AN57*(HLOOKUP(AN$7,$D$9:$G57,ROW()-8,0)+AQ$8),0)+ROUND(AP57*AQ$8,0)</f>
        <v>#N/A</v>
      </c>
      <c r="AR57" s="53"/>
      <c r="AS57" s="56"/>
      <c r="AT57" s="56"/>
      <c r="AU57" s="83" t="e">
        <f>ROUND(AR57*(HLOOKUP(AR$7,$D$9:$G57,ROW()-8,0)+AU$8),0)+ROUND(AT57*AU$8,0)</f>
        <v>#N/A</v>
      </c>
      <c r="AV57" s="53"/>
      <c r="AW57" s="56"/>
      <c r="AX57" s="56"/>
      <c r="AY57" s="83" t="e">
        <f>ROUND(AV57*(HLOOKUP(AV$7,$D$9:$G57,ROW()-8,0)+AY$8),0)+ROUND(AX57*AY$8,0)</f>
        <v>#N/A</v>
      </c>
      <c r="AZ57" s="53"/>
      <c r="BA57" s="56"/>
      <c r="BB57" s="56"/>
      <c r="BC57" s="83" t="e">
        <f>ROUND(AZ57*(HLOOKUP(AZ$7,$D$9:$G57,ROW()-8,0)+BC$8),0)+ROUND(BB57*BC$8,0)</f>
        <v>#N/A</v>
      </c>
      <c r="BD57" s="53"/>
      <c r="BE57" s="56"/>
      <c r="BF57" s="56"/>
      <c r="BG57" s="83" t="e">
        <f>ROUND(BD57*(HLOOKUP(BD$7,$D$9:$G57,ROW()-8,0)+BG$8),0)+ROUND(BF57*BG$8,0)</f>
        <v>#N/A</v>
      </c>
      <c r="BH57" s="53"/>
      <c r="BI57" s="56"/>
      <c r="BJ57" s="56"/>
      <c r="BK57" s="83" t="e">
        <f>ROUND(BH57*(HLOOKUP(BH$7,$D$9:$G57,ROW()-8,0)+BK$8),0)+ROUND(BJ57*BK$8,0)</f>
        <v>#N/A</v>
      </c>
      <c r="BL57" s="53"/>
      <c r="BM57" s="56"/>
      <c r="BN57" s="56"/>
      <c r="BO57" s="83" t="e">
        <f>ROUND(BL57*(HLOOKUP(BL$7,$D$9:$G57,ROW()-8,0)+BO$8),0)+ROUND(BN57*BO$8,0)</f>
        <v>#N/A</v>
      </c>
      <c r="BP57" s="53"/>
      <c r="BQ57" s="56"/>
      <c r="BR57" s="56"/>
      <c r="BS57" s="83" t="e">
        <f>ROUND(BP57*(HLOOKUP(BP$7,$D$9:$G57,ROW()-8,0)+BS$8),0)+ROUND(BR57*BS$8,0)</f>
        <v>#N/A</v>
      </c>
      <c r="BT57" s="54">
        <f t="shared" si="2"/>
        <v>0</v>
      </c>
      <c r="BU57" s="54">
        <f t="shared" si="2"/>
        <v>0</v>
      </c>
      <c r="BV57" s="54">
        <f t="shared" si="2"/>
        <v>0</v>
      </c>
      <c r="BW57" s="54">
        <f t="shared" si="2"/>
        <v>0</v>
      </c>
      <c r="BX57" s="63"/>
      <c r="BY57" s="107"/>
      <c r="BZ57" s="57" t="e">
        <f t="shared" si="1"/>
        <v>#DIV/0!</v>
      </c>
    </row>
    <row r="58" spans="3:78" ht="17.25">
      <c r="C58" s="64"/>
      <c r="D58" s="105"/>
      <c r="E58" s="106"/>
      <c r="F58" s="106"/>
      <c r="G58" s="110"/>
      <c r="H58" s="95"/>
      <c r="I58" s="56"/>
      <c r="J58" s="56"/>
      <c r="K58" s="83" t="e">
        <f>ROUND(H58*(HLOOKUP(H$7,$D$9:$G58,ROW()-8,0)+K$8),0)+ROUND(J58*K$8,0)</f>
        <v>#N/A</v>
      </c>
      <c r="L58" s="53"/>
      <c r="M58" s="56"/>
      <c r="N58" s="56"/>
      <c r="O58" s="83" t="e">
        <f>ROUND(L58*(HLOOKUP(L$7,$D$9:$G58,ROW()-8,0)+O$8),0)+ROUND(N58*O$8,0)</f>
        <v>#N/A</v>
      </c>
      <c r="P58" s="53"/>
      <c r="Q58" s="56"/>
      <c r="R58" s="56"/>
      <c r="S58" s="83" t="e">
        <f>ROUND(P58*(HLOOKUP(P$7,$D$9:$G58,ROW()-8,0)+S$8),0)+ROUND(R58*S$8,0)</f>
        <v>#N/A</v>
      </c>
      <c r="T58" s="53"/>
      <c r="U58" s="56"/>
      <c r="V58" s="56"/>
      <c r="W58" s="83" t="e">
        <f>ROUND(T58*(HLOOKUP(T$7,$D$9:$G58,ROW()-8,0)+W$8),0)+ROUND(V58*W$8,0)</f>
        <v>#N/A</v>
      </c>
      <c r="X58" s="53"/>
      <c r="Y58" s="56"/>
      <c r="Z58" s="56"/>
      <c r="AA58" s="83" t="e">
        <f>ROUND(X58*(HLOOKUP(X$7,$D$9:$G58,ROW()-8,0)+AA$8),0)+ROUND(Z58*AA$8,0)</f>
        <v>#N/A</v>
      </c>
      <c r="AB58" s="53"/>
      <c r="AC58" s="56"/>
      <c r="AD58" s="56"/>
      <c r="AE58" s="83" t="e">
        <f>ROUND(AB58*(HLOOKUP(AB$7,$D$9:$G58,ROW()-8,0)+AE$8),0)+ROUND(AD58*AE$8,0)</f>
        <v>#N/A</v>
      </c>
      <c r="AF58" s="53"/>
      <c r="AG58" s="56"/>
      <c r="AH58" s="56"/>
      <c r="AI58" s="83" t="e">
        <f>ROUND(AF58*(HLOOKUP(AF$7,$D$9:$G58,ROW()-8,0)+AI$8),0)+ROUND(AH58*AI$8,0)</f>
        <v>#N/A</v>
      </c>
      <c r="AJ58" s="53"/>
      <c r="AK58" s="56"/>
      <c r="AL58" s="56"/>
      <c r="AM58" s="83" t="e">
        <f>ROUND(AJ58*(HLOOKUP(AJ$7,$D$9:$G58,ROW()-8,0)+AM$8),0)+ROUND(AL58*AM$8,0)</f>
        <v>#N/A</v>
      </c>
      <c r="AN58" s="53"/>
      <c r="AO58" s="56"/>
      <c r="AP58" s="56"/>
      <c r="AQ58" s="83" t="e">
        <f>ROUND(AN58*(HLOOKUP(AN$7,$D$9:$G58,ROW()-8,0)+AQ$8),0)+ROUND(AP58*AQ$8,0)</f>
        <v>#N/A</v>
      </c>
      <c r="AR58" s="53"/>
      <c r="AS58" s="56"/>
      <c r="AT58" s="56"/>
      <c r="AU58" s="83" t="e">
        <f>ROUND(AR58*(HLOOKUP(AR$7,$D$9:$G58,ROW()-8,0)+AU$8),0)+ROUND(AT58*AU$8,0)</f>
        <v>#N/A</v>
      </c>
      <c r="AV58" s="53"/>
      <c r="AW58" s="56"/>
      <c r="AX58" s="56"/>
      <c r="AY58" s="83" t="e">
        <f>ROUND(AV58*(HLOOKUP(AV$7,$D$9:$G58,ROW()-8,0)+AY$8),0)+ROUND(AX58*AY$8,0)</f>
        <v>#N/A</v>
      </c>
      <c r="AZ58" s="53"/>
      <c r="BA58" s="56"/>
      <c r="BB58" s="56"/>
      <c r="BC58" s="83" t="e">
        <f>ROUND(AZ58*(HLOOKUP(AZ$7,$D$9:$G58,ROW()-8,0)+BC$8),0)+ROUND(BB58*BC$8,0)</f>
        <v>#N/A</v>
      </c>
      <c r="BD58" s="53"/>
      <c r="BE58" s="56"/>
      <c r="BF58" s="56"/>
      <c r="BG58" s="83" t="e">
        <f>ROUND(BD58*(HLOOKUP(BD$7,$D$9:$G58,ROW()-8,0)+BG$8),0)+ROUND(BF58*BG$8,0)</f>
        <v>#N/A</v>
      </c>
      <c r="BH58" s="53"/>
      <c r="BI58" s="56"/>
      <c r="BJ58" s="56"/>
      <c r="BK58" s="83" t="e">
        <f>ROUND(BH58*(HLOOKUP(BH$7,$D$9:$G58,ROW()-8,0)+BK$8),0)+ROUND(BJ58*BK$8,0)</f>
        <v>#N/A</v>
      </c>
      <c r="BL58" s="53"/>
      <c r="BM58" s="56"/>
      <c r="BN58" s="56"/>
      <c r="BO58" s="83" t="e">
        <f>ROUND(BL58*(HLOOKUP(BL$7,$D$9:$G58,ROW()-8,0)+BO$8),0)+ROUND(BN58*BO$8,0)</f>
        <v>#N/A</v>
      </c>
      <c r="BP58" s="53"/>
      <c r="BQ58" s="56"/>
      <c r="BR58" s="56"/>
      <c r="BS58" s="83" t="e">
        <f>ROUND(BP58*(HLOOKUP(BP$7,$D$9:$G58,ROW()-8,0)+BS$8),0)+ROUND(BR58*BS$8,0)</f>
        <v>#N/A</v>
      </c>
      <c r="BT58" s="54">
        <f t="shared" si="2"/>
        <v>0</v>
      </c>
      <c r="BU58" s="54">
        <f t="shared" si="2"/>
        <v>0</v>
      </c>
      <c r="BV58" s="54">
        <f t="shared" si="2"/>
        <v>0</v>
      </c>
      <c r="BW58" s="54">
        <f t="shared" si="2"/>
        <v>0</v>
      </c>
      <c r="BX58" s="63"/>
      <c r="BY58" s="107"/>
      <c r="BZ58" s="57" t="e">
        <f t="shared" si="1"/>
        <v>#DIV/0!</v>
      </c>
    </row>
    <row r="59" spans="3:78" ht="17.25">
      <c r="C59" s="64"/>
      <c r="D59" s="105"/>
      <c r="E59" s="106"/>
      <c r="F59" s="106"/>
      <c r="G59" s="110"/>
      <c r="H59" s="95"/>
      <c r="I59" s="56"/>
      <c r="J59" s="56"/>
      <c r="K59" s="83" t="e">
        <f>ROUND(H59*(HLOOKUP(H$7,$D$9:$G59,ROW()-8,0)+K$8),0)+ROUND(J59*K$8,0)</f>
        <v>#N/A</v>
      </c>
      <c r="L59" s="53"/>
      <c r="M59" s="56"/>
      <c r="N59" s="56"/>
      <c r="O59" s="83" t="e">
        <f>ROUND(L59*(HLOOKUP(L$7,$D$9:$G59,ROW()-8,0)+O$8),0)+ROUND(N59*O$8,0)</f>
        <v>#N/A</v>
      </c>
      <c r="P59" s="53"/>
      <c r="Q59" s="56"/>
      <c r="R59" s="56"/>
      <c r="S59" s="83" t="e">
        <f>ROUND(P59*(HLOOKUP(P$7,$D$9:$G59,ROW()-8,0)+S$8),0)+ROUND(R59*S$8,0)</f>
        <v>#N/A</v>
      </c>
      <c r="T59" s="53"/>
      <c r="U59" s="56"/>
      <c r="V59" s="56"/>
      <c r="W59" s="83" t="e">
        <f>ROUND(T59*(HLOOKUP(T$7,$D$9:$G59,ROW()-8,0)+W$8),0)+ROUND(V59*W$8,0)</f>
        <v>#N/A</v>
      </c>
      <c r="X59" s="53"/>
      <c r="Y59" s="56"/>
      <c r="Z59" s="56"/>
      <c r="AA59" s="83" t="e">
        <f>ROUND(X59*(HLOOKUP(X$7,$D$9:$G59,ROW()-8,0)+AA$8),0)+ROUND(Z59*AA$8,0)</f>
        <v>#N/A</v>
      </c>
      <c r="AB59" s="53"/>
      <c r="AC59" s="56"/>
      <c r="AD59" s="56"/>
      <c r="AE59" s="83" t="e">
        <f>ROUND(AB59*(HLOOKUP(AB$7,$D$9:$G59,ROW()-8,0)+AE$8),0)+ROUND(AD59*AE$8,0)</f>
        <v>#N/A</v>
      </c>
      <c r="AF59" s="53"/>
      <c r="AG59" s="56"/>
      <c r="AH59" s="56"/>
      <c r="AI59" s="83" t="e">
        <f>ROUND(AF59*(HLOOKUP(AF$7,$D$9:$G59,ROW()-8,0)+AI$8),0)+ROUND(AH59*AI$8,0)</f>
        <v>#N/A</v>
      </c>
      <c r="AJ59" s="53"/>
      <c r="AK59" s="56"/>
      <c r="AL59" s="56"/>
      <c r="AM59" s="83" t="e">
        <f>ROUND(AJ59*(HLOOKUP(AJ$7,$D$9:$G59,ROW()-8,0)+AM$8),0)+ROUND(AL59*AM$8,0)</f>
        <v>#N/A</v>
      </c>
      <c r="AN59" s="53"/>
      <c r="AO59" s="56"/>
      <c r="AP59" s="56"/>
      <c r="AQ59" s="83" t="e">
        <f>ROUND(AN59*(HLOOKUP(AN$7,$D$9:$G59,ROW()-8,0)+AQ$8),0)+ROUND(AP59*AQ$8,0)</f>
        <v>#N/A</v>
      </c>
      <c r="AR59" s="53"/>
      <c r="AS59" s="56"/>
      <c r="AT59" s="56"/>
      <c r="AU59" s="83" t="e">
        <f>ROUND(AR59*(HLOOKUP(AR$7,$D$9:$G59,ROW()-8,0)+AU$8),0)+ROUND(AT59*AU$8,0)</f>
        <v>#N/A</v>
      </c>
      <c r="AV59" s="53"/>
      <c r="AW59" s="56"/>
      <c r="AX59" s="56"/>
      <c r="AY59" s="83" t="e">
        <f>ROUND(AV59*(HLOOKUP(AV$7,$D$9:$G59,ROW()-8,0)+AY$8),0)+ROUND(AX59*AY$8,0)</f>
        <v>#N/A</v>
      </c>
      <c r="AZ59" s="53"/>
      <c r="BA59" s="56"/>
      <c r="BB59" s="56"/>
      <c r="BC59" s="83" t="e">
        <f>ROUND(AZ59*(HLOOKUP(AZ$7,$D$9:$G59,ROW()-8,0)+BC$8),0)+ROUND(BB59*BC$8,0)</f>
        <v>#N/A</v>
      </c>
      <c r="BD59" s="53"/>
      <c r="BE59" s="56"/>
      <c r="BF59" s="56"/>
      <c r="BG59" s="83" t="e">
        <f>ROUND(BD59*(HLOOKUP(BD$7,$D$9:$G59,ROW()-8,0)+BG$8),0)+ROUND(BF59*BG$8,0)</f>
        <v>#N/A</v>
      </c>
      <c r="BH59" s="53"/>
      <c r="BI59" s="56"/>
      <c r="BJ59" s="56"/>
      <c r="BK59" s="83" t="e">
        <f>ROUND(BH59*(HLOOKUP(BH$7,$D$9:$G59,ROW()-8,0)+BK$8),0)+ROUND(BJ59*BK$8,0)</f>
        <v>#N/A</v>
      </c>
      <c r="BL59" s="53"/>
      <c r="BM59" s="56"/>
      <c r="BN59" s="56"/>
      <c r="BO59" s="83" t="e">
        <f>ROUND(BL59*(HLOOKUP(BL$7,$D$9:$G59,ROW()-8,0)+BO$8),0)+ROUND(BN59*BO$8,0)</f>
        <v>#N/A</v>
      </c>
      <c r="BP59" s="53"/>
      <c r="BQ59" s="56"/>
      <c r="BR59" s="56"/>
      <c r="BS59" s="83" t="e">
        <f>ROUND(BP59*(HLOOKUP(BP$7,$D$9:$G59,ROW()-8,0)+BS$8),0)+ROUND(BR59*BS$8,0)</f>
        <v>#N/A</v>
      </c>
      <c r="BT59" s="54">
        <f t="shared" si="2"/>
        <v>0</v>
      </c>
      <c r="BU59" s="54">
        <f t="shared" si="2"/>
        <v>0</v>
      </c>
      <c r="BV59" s="54">
        <f t="shared" si="2"/>
        <v>0</v>
      </c>
      <c r="BW59" s="54">
        <f t="shared" si="2"/>
        <v>0</v>
      </c>
      <c r="BX59" s="63"/>
      <c r="BY59" s="107"/>
      <c r="BZ59" s="57" t="e">
        <f t="shared" si="1"/>
        <v>#DIV/0!</v>
      </c>
    </row>
    <row r="60" spans="3:78" ht="17.25">
      <c r="C60" s="64"/>
      <c r="D60" s="105"/>
      <c r="E60" s="106"/>
      <c r="F60" s="106"/>
      <c r="G60" s="110"/>
      <c r="H60" s="95"/>
      <c r="I60" s="56"/>
      <c r="J60" s="56"/>
      <c r="K60" s="83" t="e">
        <f>ROUND(H60*(HLOOKUP(H$7,$D$9:$G60,ROW()-8,0)+K$8),0)+ROUND(J60*K$8,0)</f>
        <v>#N/A</v>
      </c>
      <c r="L60" s="53"/>
      <c r="M60" s="56"/>
      <c r="N60" s="56"/>
      <c r="O60" s="83" t="e">
        <f>ROUND(L60*(HLOOKUP(L$7,$D$9:$G60,ROW()-8,0)+O$8),0)+ROUND(N60*O$8,0)</f>
        <v>#N/A</v>
      </c>
      <c r="P60" s="53"/>
      <c r="Q60" s="56"/>
      <c r="R60" s="56"/>
      <c r="S60" s="83" t="e">
        <f>ROUND(P60*(HLOOKUP(P$7,$D$9:$G60,ROW()-8,0)+S$8),0)+ROUND(R60*S$8,0)</f>
        <v>#N/A</v>
      </c>
      <c r="T60" s="53"/>
      <c r="U60" s="56"/>
      <c r="V60" s="56"/>
      <c r="W60" s="83" t="e">
        <f>ROUND(T60*(HLOOKUP(T$7,$D$9:$G60,ROW()-8,0)+W$8),0)+ROUND(V60*W$8,0)</f>
        <v>#N/A</v>
      </c>
      <c r="X60" s="53"/>
      <c r="Y60" s="56"/>
      <c r="Z60" s="56"/>
      <c r="AA60" s="83" t="e">
        <f>ROUND(X60*(HLOOKUP(X$7,$D$9:$G60,ROW()-8,0)+AA$8),0)+ROUND(Z60*AA$8,0)</f>
        <v>#N/A</v>
      </c>
      <c r="AB60" s="53"/>
      <c r="AC60" s="56"/>
      <c r="AD60" s="56"/>
      <c r="AE60" s="83" t="e">
        <f>ROUND(AB60*(HLOOKUP(AB$7,$D$9:$G60,ROW()-8,0)+AE$8),0)+ROUND(AD60*AE$8,0)</f>
        <v>#N/A</v>
      </c>
      <c r="AF60" s="53"/>
      <c r="AG60" s="56"/>
      <c r="AH60" s="56"/>
      <c r="AI60" s="83" t="e">
        <f>ROUND(AF60*(HLOOKUP(AF$7,$D$9:$G60,ROW()-8,0)+AI$8),0)+ROUND(AH60*AI$8,0)</f>
        <v>#N/A</v>
      </c>
      <c r="AJ60" s="53"/>
      <c r="AK60" s="56"/>
      <c r="AL60" s="56"/>
      <c r="AM60" s="83" t="e">
        <f>ROUND(AJ60*(HLOOKUP(AJ$7,$D$9:$G60,ROW()-8,0)+AM$8),0)+ROUND(AL60*AM$8,0)</f>
        <v>#N/A</v>
      </c>
      <c r="AN60" s="53"/>
      <c r="AO60" s="56"/>
      <c r="AP60" s="56"/>
      <c r="AQ60" s="83" t="e">
        <f>ROUND(AN60*(HLOOKUP(AN$7,$D$9:$G60,ROW()-8,0)+AQ$8),0)+ROUND(AP60*AQ$8,0)</f>
        <v>#N/A</v>
      </c>
      <c r="AR60" s="53"/>
      <c r="AS60" s="56"/>
      <c r="AT60" s="56"/>
      <c r="AU60" s="83" t="e">
        <f>ROUND(AR60*(HLOOKUP(AR$7,$D$9:$G60,ROW()-8,0)+AU$8),0)+ROUND(AT60*AU$8,0)</f>
        <v>#N/A</v>
      </c>
      <c r="AV60" s="53"/>
      <c r="AW60" s="56"/>
      <c r="AX60" s="56"/>
      <c r="AY60" s="83" t="e">
        <f>ROUND(AV60*(HLOOKUP(AV$7,$D$9:$G60,ROW()-8,0)+AY$8),0)+ROUND(AX60*AY$8,0)</f>
        <v>#N/A</v>
      </c>
      <c r="AZ60" s="53"/>
      <c r="BA60" s="56"/>
      <c r="BB60" s="56"/>
      <c r="BC60" s="83" t="e">
        <f>ROUND(AZ60*(HLOOKUP(AZ$7,$D$9:$G60,ROW()-8,0)+BC$8),0)+ROUND(BB60*BC$8,0)</f>
        <v>#N/A</v>
      </c>
      <c r="BD60" s="53"/>
      <c r="BE60" s="56"/>
      <c r="BF60" s="56"/>
      <c r="BG60" s="83" t="e">
        <f>ROUND(BD60*(HLOOKUP(BD$7,$D$9:$G60,ROW()-8,0)+BG$8),0)+ROUND(BF60*BG$8,0)</f>
        <v>#N/A</v>
      </c>
      <c r="BH60" s="53"/>
      <c r="BI60" s="56"/>
      <c r="BJ60" s="56"/>
      <c r="BK60" s="83" t="e">
        <f>ROUND(BH60*(HLOOKUP(BH$7,$D$9:$G60,ROW()-8,0)+BK$8),0)+ROUND(BJ60*BK$8,0)</f>
        <v>#N/A</v>
      </c>
      <c r="BL60" s="53"/>
      <c r="BM60" s="56"/>
      <c r="BN60" s="56"/>
      <c r="BO60" s="83" t="e">
        <f>ROUND(BL60*(HLOOKUP(BL$7,$D$9:$G60,ROW()-8,0)+BO$8),0)+ROUND(BN60*BO$8,0)</f>
        <v>#N/A</v>
      </c>
      <c r="BP60" s="53"/>
      <c r="BQ60" s="56"/>
      <c r="BR60" s="56"/>
      <c r="BS60" s="83" t="e">
        <f>ROUND(BP60*(HLOOKUP(BP$7,$D$9:$G60,ROW()-8,0)+BS$8),0)+ROUND(BR60*BS$8,0)</f>
        <v>#N/A</v>
      </c>
      <c r="BT60" s="54">
        <f t="shared" si="2"/>
        <v>0</v>
      </c>
      <c r="BU60" s="54">
        <f t="shared" si="2"/>
        <v>0</v>
      </c>
      <c r="BV60" s="54">
        <f t="shared" si="2"/>
        <v>0</v>
      </c>
      <c r="BW60" s="54">
        <f t="shared" si="2"/>
        <v>0</v>
      </c>
      <c r="BX60" s="63"/>
      <c r="BY60" s="107"/>
      <c r="BZ60" s="57" t="e">
        <f t="shared" si="1"/>
        <v>#DIV/0!</v>
      </c>
    </row>
    <row r="61" spans="3:78" ht="17.25">
      <c r="C61" s="64"/>
      <c r="D61" s="115"/>
      <c r="E61" s="65"/>
      <c r="F61" s="65"/>
      <c r="G61" s="111"/>
      <c r="H61" s="95"/>
      <c r="I61" s="56"/>
      <c r="J61" s="56"/>
      <c r="K61" s="83" t="e">
        <f>ROUND(H61*(HLOOKUP(H$7,$D$9:$G61,ROW()-8,0)+K$8),0)+ROUND(J61*K$8,0)</f>
        <v>#N/A</v>
      </c>
      <c r="L61" s="53"/>
      <c r="M61" s="56"/>
      <c r="N61" s="56"/>
      <c r="O61" s="83" t="e">
        <f>ROUND(L61*(HLOOKUP(L$7,$D$9:$G61,ROW()-8,0)+O$8),0)+ROUND(N61*O$8,0)</f>
        <v>#N/A</v>
      </c>
      <c r="P61" s="53"/>
      <c r="Q61" s="56"/>
      <c r="R61" s="56"/>
      <c r="S61" s="83" t="e">
        <f>ROUND(P61*(HLOOKUP(P$7,$D$9:$G61,ROW()-8,0)+S$8),0)+ROUND(R61*S$8,0)</f>
        <v>#N/A</v>
      </c>
      <c r="T61" s="53"/>
      <c r="U61" s="56"/>
      <c r="V61" s="56"/>
      <c r="W61" s="83" t="e">
        <f>ROUND(T61*(HLOOKUP(T$7,$D$9:$G61,ROW()-8,0)+W$8),0)+ROUND(V61*W$8,0)</f>
        <v>#N/A</v>
      </c>
      <c r="X61" s="53"/>
      <c r="Y61" s="56"/>
      <c r="Z61" s="56"/>
      <c r="AA61" s="83" t="e">
        <f>ROUND(X61*(HLOOKUP(X$7,$D$9:$G61,ROW()-8,0)+AA$8),0)+ROUND(Z61*AA$8,0)</f>
        <v>#N/A</v>
      </c>
      <c r="AB61" s="53"/>
      <c r="AC61" s="56"/>
      <c r="AD61" s="56"/>
      <c r="AE61" s="83" t="e">
        <f>ROUND(AB61*(HLOOKUP(AB$7,$D$9:$G61,ROW()-8,0)+AE$8),0)+ROUND(AD61*AE$8,0)</f>
        <v>#N/A</v>
      </c>
      <c r="AF61" s="53"/>
      <c r="AG61" s="56"/>
      <c r="AH61" s="56"/>
      <c r="AI61" s="83" t="e">
        <f>ROUND(AF61*(HLOOKUP(AF$7,$D$9:$G61,ROW()-8,0)+AI$8),0)+ROUND(AH61*AI$8,0)</f>
        <v>#N/A</v>
      </c>
      <c r="AJ61" s="53"/>
      <c r="AK61" s="56"/>
      <c r="AL61" s="56"/>
      <c r="AM61" s="83" t="e">
        <f>ROUND(AJ61*(HLOOKUP(AJ$7,$D$9:$G61,ROW()-8,0)+AM$8),0)+ROUND(AL61*AM$8,0)</f>
        <v>#N/A</v>
      </c>
      <c r="AN61" s="53"/>
      <c r="AO61" s="56"/>
      <c r="AP61" s="56"/>
      <c r="AQ61" s="83" t="e">
        <f>ROUND(AN61*(HLOOKUP(AN$7,$D$9:$G61,ROW()-8,0)+AQ$8),0)+ROUND(AP61*AQ$8,0)</f>
        <v>#N/A</v>
      </c>
      <c r="AR61" s="53"/>
      <c r="AS61" s="56"/>
      <c r="AT61" s="56"/>
      <c r="AU61" s="83" t="e">
        <f>ROUND(AR61*(HLOOKUP(AR$7,$D$9:$G61,ROW()-8,0)+AU$8),0)+ROUND(AT61*AU$8,0)</f>
        <v>#N/A</v>
      </c>
      <c r="AV61" s="53"/>
      <c r="AW61" s="56"/>
      <c r="AX61" s="56"/>
      <c r="AY61" s="83" t="e">
        <f>ROUND(AV61*(HLOOKUP(AV$7,$D$9:$G61,ROW()-8,0)+AY$8),0)+ROUND(AX61*AY$8,0)</f>
        <v>#N/A</v>
      </c>
      <c r="AZ61" s="53"/>
      <c r="BA61" s="56"/>
      <c r="BB61" s="56"/>
      <c r="BC61" s="83" t="e">
        <f>ROUND(AZ61*(HLOOKUP(AZ$7,$D$9:$G61,ROW()-8,0)+BC$8),0)+ROUND(BB61*BC$8,0)</f>
        <v>#N/A</v>
      </c>
      <c r="BD61" s="53"/>
      <c r="BE61" s="56"/>
      <c r="BF61" s="56"/>
      <c r="BG61" s="83" t="e">
        <f>ROUND(BD61*(HLOOKUP(BD$7,$D$9:$G61,ROW()-8,0)+BG$8),0)+ROUND(BF61*BG$8,0)</f>
        <v>#N/A</v>
      </c>
      <c r="BH61" s="53"/>
      <c r="BI61" s="56"/>
      <c r="BJ61" s="56"/>
      <c r="BK61" s="83" t="e">
        <f>ROUND(BH61*(HLOOKUP(BH$7,$D$9:$G61,ROW()-8,0)+BK$8),0)+ROUND(BJ61*BK$8,0)</f>
        <v>#N/A</v>
      </c>
      <c r="BL61" s="53"/>
      <c r="BM61" s="56"/>
      <c r="BN61" s="56"/>
      <c r="BO61" s="83" t="e">
        <f>ROUND(BL61*(HLOOKUP(BL$7,$D$9:$G61,ROW()-8,0)+BO$8),0)+ROUND(BN61*BO$8,0)</f>
        <v>#N/A</v>
      </c>
      <c r="BP61" s="53"/>
      <c r="BQ61" s="56"/>
      <c r="BR61" s="56"/>
      <c r="BS61" s="83" t="e">
        <f>ROUND(BP61*(HLOOKUP(BP$7,$D$9:$G61,ROW()-8,0)+BS$8),0)+ROUND(BR61*BS$8,0)</f>
        <v>#N/A</v>
      </c>
      <c r="BT61" s="54">
        <f t="shared" si="2"/>
        <v>0</v>
      </c>
      <c r="BU61" s="54">
        <f t="shared" si="2"/>
        <v>0</v>
      </c>
      <c r="BV61" s="54">
        <f t="shared" si="2"/>
        <v>0</v>
      </c>
      <c r="BW61" s="54">
        <f t="shared" si="2"/>
        <v>0</v>
      </c>
      <c r="BX61" s="63"/>
      <c r="BY61" s="62"/>
      <c r="BZ61" s="57" t="e">
        <f t="shared" si="1"/>
        <v>#DIV/0!</v>
      </c>
    </row>
    <row r="62" spans="3:78" ht="17.25">
      <c r="C62" s="64"/>
      <c r="D62" s="105"/>
      <c r="E62" s="106"/>
      <c r="F62" s="106"/>
      <c r="G62" s="110"/>
      <c r="H62" s="95"/>
      <c r="I62" s="56"/>
      <c r="J62" s="56"/>
      <c r="K62" s="83" t="e">
        <f>ROUND(H62*(HLOOKUP(H$7,$D$9:$G62,ROW()-8,0)+K$8),0)+ROUND(J62*K$8,0)</f>
        <v>#N/A</v>
      </c>
      <c r="L62" s="53"/>
      <c r="M62" s="56"/>
      <c r="N62" s="56"/>
      <c r="O62" s="83" t="e">
        <f>ROUND(L62*(HLOOKUP(L$7,$D$9:$G62,ROW()-8,0)+O$8),0)+ROUND(N62*O$8,0)</f>
        <v>#N/A</v>
      </c>
      <c r="P62" s="53"/>
      <c r="Q62" s="56"/>
      <c r="R62" s="56"/>
      <c r="S62" s="83" t="e">
        <f>ROUND(P62*(HLOOKUP(P$7,$D$9:$G62,ROW()-8,0)+S$8),0)+ROUND(R62*S$8,0)</f>
        <v>#N/A</v>
      </c>
      <c r="T62" s="53"/>
      <c r="U62" s="56"/>
      <c r="V62" s="56"/>
      <c r="W62" s="83" t="e">
        <f>ROUND(T62*(HLOOKUP(T$7,$D$9:$G62,ROW()-8,0)+W$8),0)+ROUND(V62*W$8,0)</f>
        <v>#N/A</v>
      </c>
      <c r="X62" s="53"/>
      <c r="Y62" s="56"/>
      <c r="Z62" s="56"/>
      <c r="AA62" s="83" t="e">
        <f>ROUND(X62*(HLOOKUP(X$7,$D$9:$G62,ROW()-8,0)+AA$8),0)+ROUND(Z62*AA$8,0)</f>
        <v>#N/A</v>
      </c>
      <c r="AB62" s="53"/>
      <c r="AC62" s="56"/>
      <c r="AD62" s="56"/>
      <c r="AE62" s="83" t="e">
        <f>ROUND(AB62*(HLOOKUP(AB$7,$D$9:$G62,ROW()-8,0)+AE$8),0)+ROUND(AD62*AE$8,0)</f>
        <v>#N/A</v>
      </c>
      <c r="AF62" s="53"/>
      <c r="AG62" s="56"/>
      <c r="AH62" s="56"/>
      <c r="AI62" s="83" t="e">
        <f>ROUND(AF62*(HLOOKUP(AF$7,$D$9:$G62,ROW()-8,0)+AI$8),0)+ROUND(AH62*AI$8,0)</f>
        <v>#N/A</v>
      </c>
      <c r="AJ62" s="53"/>
      <c r="AK62" s="56"/>
      <c r="AL62" s="56"/>
      <c r="AM62" s="83" t="e">
        <f>ROUND(AJ62*(HLOOKUP(AJ$7,$D$9:$G62,ROW()-8,0)+AM$8),0)+ROUND(AL62*AM$8,0)</f>
        <v>#N/A</v>
      </c>
      <c r="AN62" s="53"/>
      <c r="AO62" s="56"/>
      <c r="AP62" s="56"/>
      <c r="AQ62" s="83" t="e">
        <f>ROUND(AN62*(HLOOKUP(AN$7,$D$9:$G62,ROW()-8,0)+AQ$8),0)+ROUND(AP62*AQ$8,0)</f>
        <v>#N/A</v>
      </c>
      <c r="AR62" s="53"/>
      <c r="AS62" s="56"/>
      <c r="AT62" s="56"/>
      <c r="AU62" s="83" t="e">
        <f>ROUND(AR62*(HLOOKUP(AR$7,$D$9:$G62,ROW()-8,0)+AU$8),0)+ROUND(AT62*AU$8,0)</f>
        <v>#N/A</v>
      </c>
      <c r="AV62" s="53"/>
      <c r="AW62" s="56"/>
      <c r="AX62" s="56"/>
      <c r="AY62" s="83" t="e">
        <f>ROUND(AV62*(HLOOKUP(AV$7,$D$9:$G62,ROW()-8,0)+AY$8),0)+ROUND(AX62*AY$8,0)</f>
        <v>#N/A</v>
      </c>
      <c r="AZ62" s="53"/>
      <c r="BA62" s="56"/>
      <c r="BB62" s="56"/>
      <c r="BC62" s="83" t="e">
        <f>ROUND(AZ62*(HLOOKUP(AZ$7,$D$9:$G62,ROW()-8,0)+BC$8),0)+ROUND(BB62*BC$8,0)</f>
        <v>#N/A</v>
      </c>
      <c r="BD62" s="53"/>
      <c r="BE62" s="56"/>
      <c r="BF62" s="56"/>
      <c r="BG62" s="83" t="e">
        <f>ROUND(BD62*(HLOOKUP(BD$7,$D$9:$G62,ROW()-8,0)+BG$8),0)+ROUND(BF62*BG$8,0)</f>
        <v>#N/A</v>
      </c>
      <c r="BH62" s="53"/>
      <c r="BI62" s="56"/>
      <c r="BJ62" s="56"/>
      <c r="BK62" s="83" t="e">
        <f>ROUND(BH62*(HLOOKUP(BH$7,$D$9:$G62,ROW()-8,0)+BK$8),0)+ROUND(BJ62*BK$8,0)</f>
        <v>#N/A</v>
      </c>
      <c r="BL62" s="53"/>
      <c r="BM62" s="56"/>
      <c r="BN62" s="56"/>
      <c r="BO62" s="83" t="e">
        <f>ROUND(BL62*(HLOOKUP(BL$7,$D$9:$G62,ROW()-8,0)+BO$8),0)+ROUND(BN62*BO$8,0)</f>
        <v>#N/A</v>
      </c>
      <c r="BP62" s="53"/>
      <c r="BQ62" s="56"/>
      <c r="BR62" s="56"/>
      <c r="BS62" s="83" t="e">
        <f>ROUND(BP62*(HLOOKUP(BP$7,$D$9:$G62,ROW()-8,0)+BS$8),0)+ROUND(BR62*BS$8,0)</f>
        <v>#N/A</v>
      </c>
      <c r="BT62" s="54">
        <f t="shared" si="2"/>
        <v>0</v>
      </c>
      <c r="BU62" s="54">
        <f t="shared" si="2"/>
        <v>0</v>
      </c>
      <c r="BV62" s="54">
        <f t="shared" si="2"/>
        <v>0</v>
      </c>
      <c r="BW62" s="54">
        <f t="shared" si="2"/>
        <v>0</v>
      </c>
      <c r="BX62" s="63"/>
      <c r="BY62" s="107"/>
      <c r="BZ62" s="57" t="e">
        <f t="shared" si="1"/>
        <v>#DIV/0!</v>
      </c>
    </row>
    <row r="63" spans="3:78" ht="17.25">
      <c r="C63" s="64"/>
      <c r="D63" s="105"/>
      <c r="E63" s="106"/>
      <c r="F63" s="106"/>
      <c r="G63" s="110"/>
      <c r="H63" s="95"/>
      <c r="I63" s="56"/>
      <c r="J63" s="56"/>
      <c r="K63" s="83" t="e">
        <f>ROUND(H63*(HLOOKUP(H$7,$D$9:$G63,ROW()-8,0)+K$8),0)+ROUND(J63*K$8,0)</f>
        <v>#N/A</v>
      </c>
      <c r="L63" s="53"/>
      <c r="M63" s="56"/>
      <c r="N63" s="56"/>
      <c r="O63" s="83" t="e">
        <f>ROUND(L63*(HLOOKUP(L$7,$D$9:$G63,ROW()-8,0)+O$8),0)+ROUND(N63*O$8,0)</f>
        <v>#N/A</v>
      </c>
      <c r="P63" s="53"/>
      <c r="Q63" s="56"/>
      <c r="R63" s="56"/>
      <c r="S63" s="83" t="e">
        <f>ROUND(P63*(HLOOKUP(P$7,$D$9:$G63,ROW()-8,0)+S$8),0)+ROUND(R63*S$8,0)</f>
        <v>#N/A</v>
      </c>
      <c r="T63" s="53"/>
      <c r="U63" s="56"/>
      <c r="V63" s="56"/>
      <c r="W63" s="83" t="e">
        <f>ROUND(T63*(HLOOKUP(T$7,$D$9:$G63,ROW()-8,0)+W$8),0)+ROUND(V63*W$8,0)</f>
        <v>#N/A</v>
      </c>
      <c r="X63" s="53"/>
      <c r="Y63" s="56"/>
      <c r="Z63" s="56"/>
      <c r="AA63" s="83" t="e">
        <f>ROUND(X63*(HLOOKUP(X$7,$D$9:$G63,ROW()-8,0)+AA$8),0)+ROUND(Z63*AA$8,0)</f>
        <v>#N/A</v>
      </c>
      <c r="AB63" s="53"/>
      <c r="AC63" s="56"/>
      <c r="AD63" s="56"/>
      <c r="AE63" s="83" t="e">
        <f>ROUND(AB63*(HLOOKUP(AB$7,$D$9:$G63,ROW()-8,0)+AE$8),0)+ROUND(AD63*AE$8,0)</f>
        <v>#N/A</v>
      </c>
      <c r="AF63" s="53"/>
      <c r="AG63" s="56"/>
      <c r="AH63" s="56"/>
      <c r="AI63" s="83" t="e">
        <f>ROUND(AF63*(HLOOKUP(AF$7,$D$9:$G63,ROW()-8,0)+AI$8),0)+ROUND(AH63*AI$8,0)</f>
        <v>#N/A</v>
      </c>
      <c r="AJ63" s="53"/>
      <c r="AK63" s="56"/>
      <c r="AL63" s="56"/>
      <c r="AM63" s="83" t="e">
        <f>ROUND(AJ63*(HLOOKUP(AJ$7,$D$9:$G63,ROW()-8,0)+AM$8),0)+ROUND(AL63*AM$8,0)</f>
        <v>#N/A</v>
      </c>
      <c r="AN63" s="53"/>
      <c r="AO63" s="56"/>
      <c r="AP63" s="56"/>
      <c r="AQ63" s="83" t="e">
        <f>ROUND(AN63*(HLOOKUP(AN$7,$D$9:$G63,ROW()-8,0)+AQ$8),0)+ROUND(AP63*AQ$8,0)</f>
        <v>#N/A</v>
      </c>
      <c r="AR63" s="53"/>
      <c r="AS63" s="56"/>
      <c r="AT63" s="56"/>
      <c r="AU63" s="83" t="e">
        <f>ROUND(AR63*(HLOOKUP(AR$7,$D$9:$G63,ROW()-8,0)+AU$8),0)+ROUND(AT63*AU$8,0)</f>
        <v>#N/A</v>
      </c>
      <c r="AV63" s="53"/>
      <c r="AW63" s="56"/>
      <c r="AX63" s="56"/>
      <c r="AY63" s="83" t="e">
        <f>ROUND(AV63*(HLOOKUP(AV$7,$D$9:$G63,ROW()-8,0)+AY$8),0)+ROUND(AX63*AY$8,0)</f>
        <v>#N/A</v>
      </c>
      <c r="AZ63" s="53"/>
      <c r="BA63" s="56"/>
      <c r="BB63" s="56"/>
      <c r="BC63" s="83" t="e">
        <f>ROUND(AZ63*(HLOOKUP(AZ$7,$D$9:$G63,ROW()-8,0)+BC$8),0)+ROUND(BB63*BC$8,0)</f>
        <v>#N/A</v>
      </c>
      <c r="BD63" s="53"/>
      <c r="BE63" s="56"/>
      <c r="BF63" s="56"/>
      <c r="BG63" s="83" t="e">
        <f>ROUND(BD63*(HLOOKUP(BD$7,$D$9:$G63,ROW()-8,0)+BG$8),0)+ROUND(BF63*BG$8,0)</f>
        <v>#N/A</v>
      </c>
      <c r="BH63" s="53"/>
      <c r="BI63" s="56"/>
      <c r="BJ63" s="56"/>
      <c r="BK63" s="83" t="e">
        <f>ROUND(BH63*(HLOOKUP(BH$7,$D$9:$G63,ROW()-8,0)+BK$8),0)+ROUND(BJ63*BK$8,0)</f>
        <v>#N/A</v>
      </c>
      <c r="BL63" s="53"/>
      <c r="BM63" s="56"/>
      <c r="BN63" s="56"/>
      <c r="BO63" s="83" t="e">
        <f>ROUND(BL63*(HLOOKUP(BL$7,$D$9:$G63,ROW()-8,0)+BO$8),0)+ROUND(BN63*BO$8,0)</f>
        <v>#N/A</v>
      </c>
      <c r="BP63" s="53"/>
      <c r="BQ63" s="56"/>
      <c r="BR63" s="56"/>
      <c r="BS63" s="83" t="e">
        <f>ROUND(BP63*(HLOOKUP(BP$7,$D$9:$G63,ROW()-8,0)+BS$8),0)+ROUND(BR63*BS$8,0)</f>
        <v>#N/A</v>
      </c>
      <c r="BT63" s="54">
        <f t="shared" si="2"/>
        <v>0</v>
      </c>
      <c r="BU63" s="54">
        <f t="shared" si="2"/>
        <v>0</v>
      </c>
      <c r="BV63" s="54">
        <f t="shared" si="2"/>
        <v>0</v>
      </c>
      <c r="BW63" s="54">
        <f t="shared" si="2"/>
        <v>0</v>
      </c>
      <c r="BX63" s="63"/>
      <c r="BY63" s="107"/>
      <c r="BZ63" s="57" t="e">
        <f t="shared" si="1"/>
        <v>#DIV/0!</v>
      </c>
    </row>
    <row r="64" spans="3:78" ht="17.25">
      <c r="C64" s="64"/>
      <c r="D64" s="105"/>
      <c r="E64" s="106"/>
      <c r="F64" s="106"/>
      <c r="G64" s="110"/>
      <c r="H64" s="95"/>
      <c r="I64" s="56"/>
      <c r="J64" s="56"/>
      <c r="K64" s="83" t="e">
        <f>ROUND(H64*(HLOOKUP(H$7,$D$9:$G64,ROW()-8,0)+K$8),0)+ROUND(J64*K$8,0)</f>
        <v>#N/A</v>
      </c>
      <c r="L64" s="53"/>
      <c r="M64" s="56"/>
      <c r="N64" s="56"/>
      <c r="O64" s="83" t="e">
        <f>ROUND(L64*(HLOOKUP(L$7,$D$9:$G64,ROW()-8,0)+O$8),0)+ROUND(N64*O$8,0)</f>
        <v>#N/A</v>
      </c>
      <c r="P64" s="53"/>
      <c r="Q64" s="56"/>
      <c r="R64" s="56"/>
      <c r="S64" s="83" t="e">
        <f>ROUND(P64*(HLOOKUP(P$7,$D$9:$G64,ROW()-8,0)+S$8),0)+ROUND(R64*S$8,0)</f>
        <v>#N/A</v>
      </c>
      <c r="T64" s="53"/>
      <c r="U64" s="56"/>
      <c r="V64" s="56"/>
      <c r="W64" s="83" t="e">
        <f>ROUND(T64*(HLOOKUP(T$7,$D$9:$G64,ROW()-8,0)+W$8),0)+ROUND(V64*W$8,0)</f>
        <v>#N/A</v>
      </c>
      <c r="X64" s="53"/>
      <c r="Y64" s="56"/>
      <c r="Z64" s="56"/>
      <c r="AA64" s="83" t="e">
        <f>ROUND(X64*(HLOOKUP(X$7,$D$9:$G64,ROW()-8,0)+AA$8),0)+ROUND(Z64*AA$8,0)</f>
        <v>#N/A</v>
      </c>
      <c r="AB64" s="53"/>
      <c r="AC64" s="56"/>
      <c r="AD64" s="56"/>
      <c r="AE64" s="83" t="e">
        <f>ROUND(AB64*(HLOOKUP(AB$7,$D$9:$G64,ROW()-8,0)+AE$8),0)+ROUND(AD64*AE$8,0)</f>
        <v>#N/A</v>
      </c>
      <c r="AF64" s="53"/>
      <c r="AG64" s="56"/>
      <c r="AH64" s="56"/>
      <c r="AI64" s="83" t="e">
        <f>ROUND(AF64*(HLOOKUP(AF$7,$D$9:$G64,ROW()-8,0)+AI$8),0)+ROUND(AH64*AI$8,0)</f>
        <v>#N/A</v>
      </c>
      <c r="AJ64" s="53"/>
      <c r="AK64" s="56"/>
      <c r="AL64" s="56"/>
      <c r="AM64" s="83" t="e">
        <f>ROUND(AJ64*(HLOOKUP(AJ$7,$D$9:$G64,ROW()-8,0)+AM$8),0)+ROUND(AL64*AM$8,0)</f>
        <v>#N/A</v>
      </c>
      <c r="AN64" s="53"/>
      <c r="AO64" s="56"/>
      <c r="AP64" s="56"/>
      <c r="AQ64" s="83" t="e">
        <f>ROUND(AN64*(HLOOKUP(AN$7,$D$9:$G64,ROW()-8,0)+AQ$8),0)+ROUND(AP64*AQ$8,0)</f>
        <v>#N/A</v>
      </c>
      <c r="AR64" s="53"/>
      <c r="AS64" s="56"/>
      <c r="AT64" s="56"/>
      <c r="AU64" s="83" t="e">
        <f>ROUND(AR64*(HLOOKUP(AR$7,$D$9:$G64,ROW()-8,0)+AU$8),0)+ROUND(AT64*AU$8,0)</f>
        <v>#N/A</v>
      </c>
      <c r="AV64" s="53"/>
      <c r="AW64" s="56"/>
      <c r="AX64" s="56"/>
      <c r="AY64" s="83" t="e">
        <f>ROUND(AV64*(HLOOKUP(AV$7,$D$9:$G64,ROW()-8,0)+AY$8),0)+ROUND(AX64*AY$8,0)</f>
        <v>#N/A</v>
      </c>
      <c r="AZ64" s="53"/>
      <c r="BA64" s="56"/>
      <c r="BB64" s="56"/>
      <c r="BC64" s="83" t="e">
        <f>ROUND(AZ64*(HLOOKUP(AZ$7,$D$9:$G64,ROW()-8,0)+BC$8),0)+ROUND(BB64*BC$8,0)</f>
        <v>#N/A</v>
      </c>
      <c r="BD64" s="53"/>
      <c r="BE64" s="56"/>
      <c r="BF64" s="56"/>
      <c r="BG64" s="83" t="e">
        <f>ROUND(BD64*(HLOOKUP(BD$7,$D$9:$G64,ROW()-8,0)+BG$8),0)+ROUND(BF64*BG$8,0)</f>
        <v>#N/A</v>
      </c>
      <c r="BH64" s="53"/>
      <c r="BI64" s="56"/>
      <c r="BJ64" s="56"/>
      <c r="BK64" s="83" t="e">
        <f>ROUND(BH64*(HLOOKUP(BH$7,$D$9:$G64,ROW()-8,0)+BK$8),0)+ROUND(BJ64*BK$8,0)</f>
        <v>#N/A</v>
      </c>
      <c r="BL64" s="53"/>
      <c r="BM64" s="56"/>
      <c r="BN64" s="56"/>
      <c r="BO64" s="83" t="e">
        <f>ROUND(BL64*(HLOOKUP(BL$7,$D$9:$G64,ROW()-8,0)+BO$8),0)+ROUND(BN64*BO$8,0)</f>
        <v>#N/A</v>
      </c>
      <c r="BP64" s="53"/>
      <c r="BQ64" s="56"/>
      <c r="BR64" s="56"/>
      <c r="BS64" s="83" t="e">
        <f>ROUND(BP64*(HLOOKUP(BP$7,$D$9:$G64,ROW()-8,0)+BS$8),0)+ROUND(BR64*BS$8,0)</f>
        <v>#N/A</v>
      </c>
      <c r="BT64" s="54">
        <f t="shared" si="2"/>
        <v>0</v>
      </c>
      <c r="BU64" s="54">
        <f t="shared" si="2"/>
        <v>0</v>
      </c>
      <c r="BV64" s="54">
        <f t="shared" si="2"/>
        <v>0</v>
      </c>
      <c r="BW64" s="54">
        <f t="shared" si="2"/>
        <v>0</v>
      </c>
      <c r="BX64" s="63"/>
      <c r="BY64" s="107"/>
      <c r="BZ64" s="57" t="e">
        <f t="shared" si="1"/>
        <v>#DIV/0!</v>
      </c>
    </row>
    <row r="65" spans="3:78" ht="17.25">
      <c r="C65" s="64"/>
      <c r="D65" s="105"/>
      <c r="E65" s="106"/>
      <c r="F65" s="106"/>
      <c r="G65" s="110"/>
      <c r="H65" s="95"/>
      <c r="I65" s="56"/>
      <c r="J65" s="56"/>
      <c r="K65" s="83" t="e">
        <f>ROUND(H65*(HLOOKUP(H$7,$D$9:$G65,ROW()-8,0)+K$8),0)+ROUND(J65*K$8,0)</f>
        <v>#N/A</v>
      </c>
      <c r="L65" s="53"/>
      <c r="M65" s="56"/>
      <c r="N65" s="56"/>
      <c r="O65" s="83" t="e">
        <f>ROUND(L65*(HLOOKUP(L$7,$D$9:$G65,ROW()-8,0)+O$8),0)+ROUND(N65*O$8,0)</f>
        <v>#N/A</v>
      </c>
      <c r="P65" s="53"/>
      <c r="Q65" s="56"/>
      <c r="R65" s="56"/>
      <c r="S65" s="83" t="e">
        <f>ROUND(P65*(HLOOKUP(P$7,$D$9:$G65,ROW()-8,0)+S$8),0)+ROUND(R65*S$8,0)</f>
        <v>#N/A</v>
      </c>
      <c r="T65" s="53"/>
      <c r="U65" s="56"/>
      <c r="V65" s="56"/>
      <c r="W65" s="83" t="e">
        <f>ROUND(T65*(HLOOKUP(T$7,$D$9:$G65,ROW()-8,0)+W$8),0)+ROUND(V65*W$8,0)</f>
        <v>#N/A</v>
      </c>
      <c r="X65" s="53"/>
      <c r="Y65" s="56"/>
      <c r="Z65" s="56"/>
      <c r="AA65" s="83" t="e">
        <f>ROUND(X65*(HLOOKUP(X$7,$D$9:$G65,ROW()-8,0)+AA$8),0)+ROUND(Z65*AA$8,0)</f>
        <v>#N/A</v>
      </c>
      <c r="AB65" s="53"/>
      <c r="AC65" s="56"/>
      <c r="AD65" s="56"/>
      <c r="AE65" s="83" t="e">
        <f>ROUND(AB65*(HLOOKUP(AB$7,$D$9:$G65,ROW()-8,0)+AE$8),0)+ROUND(AD65*AE$8,0)</f>
        <v>#N/A</v>
      </c>
      <c r="AF65" s="53"/>
      <c r="AG65" s="56"/>
      <c r="AH65" s="56"/>
      <c r="AI65" s="83" t="e">
        <f>ROUND(AF65*(HLOOKUP(AF$7,$D$9:$G65,ROW()-8,0)+AI$8),0)+ROUND(AH65*AI$8,0)</f>
        <v>#N/A</v>
      </c>
      <c r="AJ65" s="53"/>
      <c r="AK65" s="56"/>
      <c r="AL65" s="56"/>
      <c r="AM65" s="83" t="e">
        <f>ROUND(AJ65*(HLOOKUP(AJ$7,$D$9:$G65,ROW()-8,0)+AM$8),0)+ROUND(AL65*AM$8,0)</f>
        <v>#N/A</v>
      </c>
      <c r="AN65" s="53"/>
      <c r="AO65" s="56"/>
      <c r="AP65" s="56"/>
      <c r="AQ65" s="83" t="e">
        <f>ROUND(AN65*(HLOOKUP(AN$7,$D$9:$G65,ROW()-8,0)+AQ$8),0)+ROUND(AP65*AQ$8,0)</f>
        <v>#N/A</v>
      </c>
      <c r="AR65" s="53"/>
      <c r="AS65" s="56"/>
      <c r="AT65" s="56"/>
      <c r="AU65" s="83" t="e">
        <f>ROUND(AR65*(HLOOKUP(AR$7,$D$9:$G65,ROW()-8,0)+AU$8),0)+ROUND(AT65*AU$8,0)</f>
        <v>#N/A</v>
      </c>
      <c r="AV65" s="53"/>
      <c r="AW65" s="56"/>
      <c r="AX65" s="56"/>
      <c r="AY65" s="83" t="e">
        <f>ROUND(AV65*(HLOOKUP(AV$7,$D$9:$G65,ROW()-8,0)+AY$8),0)+ROUND(AX65*AY$8,0)</f>
        <v>#N/A</v>
      </c>
      <c r="AZ65" s="53"/>
      <c r="BA65" s="56"/>
      <c r="BB65" s="56"/>
      <c r="BC65" s="83" t="e">
        <f>ROUND(AZ65*(HLOOKUP(AZ$7,$D$9:$G65,ROW()-8,0)+BC$8),0)+ROUND(BB65*BC$8,0)</f>
        <v>#N/A</v>
      </c>
      <c r="BD65" s="53"/>
      <c r="BE65" s="56"/>
      <c r="BF65" s="56"/>
      <c r="BG65" s="83" t="e">
        <f>ROUND(BD65*(HLOOKUP(BD$7,$D$9:$G65,ROW()-8,0)+BG$8),0)+ROUND(BF65*BG$8,0)</f>
        <v>#N/A</v>
      </c>
      <c r="BH65" s="53"/>
      <c r="BI65" s="56"/>
      <c r="BJ65" s="56"/>
      <c r="BK65" s="83" t="e">
        <f>ROUND(BH65*(HLOOKUP(BH$7,$D$9:$G65,ROW()-8,0)+BK$8),0)+ROUND(BJ65*BK$8,0)</f>
        <v>#N/A</v>
      </c>
      <c r="BL65" s="53"/>
      <c r="BM65" s="56"/>
      <c r="BN65" s="56"/>
      <c r="BO65" s="83" t="e">
        <f>ROUND(BL65*(HLOOKUP(BL$7,$D$9:$G65,ROW()-8,0)+BO$8),0)+ROUND(BN65*BO$8,0)</f>
        <v>#N/A</v>
      </c>
      <c r="BP65" s="53"/>
      <c r="BQ65" s="56"/>
      <c r="BR65" s="56"/>
      <c r="BS65" s="83" t="e">
        <f>ROUND(BP65*(HLOOKUP(BP$7,$D$9:$G65,ROW()-8,0)+BS$8),0)+ROUND(BR65*BS$8,0)</f>
        <v>#N/A</v>
      </c>
      <c r="BT65" s="54">
        <f t="shared" si="2"/>
        <v>0</v>
      </c>
      <c r="BU65" s="54">
        <f t="shared" si="2"/>
        <v>0</v>
      </c>
      <c r="BV65" s="54">
        <f t="shared" si="2"/>
        <v>0</v>
      </c>
      <c r="BW65" s="54">
        <f t="shared" si="2"/>
        <v>0</v>
      </c>
      <c r="BX65" s="63"/>
      <c r="BY65" s="107"/>
      <c r="BZ65" s="57" t="e">
        <f t="shared" si="1"/>
        <v>#DIV/0!</v>
      </c>
    </row>
    <row r="66" spans="3:78" ht="17.25">
      <c r="C66" s="64"/>
      <c r="D66" s="105"/>
      <c r="E66" s="106"/>
      <c r="F66" s="106"/>
      <c r="G66" s="110"/>
      <c r="H66" s="95"/>
      <c r="I66" s="56"/>
      <c r="J66" s="56"/>
      <c r="K66" s="83" t="e">
        <f>ROUND(H66*(HLOOKUP(H$7,$D$9:$G66,ROW()-8,0)+K$8),0)+ROUND(J66*K$8,0)</f>
        <v>#N/A</v>
      </c>
      <c r="L66" s="53"/>
      <c r="M66" s="56"/>
      <c r="N66" s="56"/>
      <c r="O66" s="83" t="e">
        <f>ROUND(L66*(HLOOKUP(L$7,$D$9:$G66,ROW()-8,0)+O$8),0)+ROUND(N66*O$8,0)</f>
        <v>#N/A</v>
      </c>
      <c r="P66" s="53"/>
      <c r="Q66" s="56"/>
      <c r="R66" s="56"/>
      <c r="S66" s="83" t="e">
        <f>ROUND(P66*(HLOOKUP(P$7,$D$9:$G66,ROW()-8,0)+S$8),0)+ROUND(R66*S$8,0)</f>
        <v>#N/A</v>
      </c>
      <c r="T66" s="53"/>
      <c r="U66" s="56"/>
      <c r="V66" s="56"/>
      <c r="W66" s="83" t="e">
        <f>ROUND(T66*(HLOOKUP(T$7,$D$9:$G66,ROW()-8,0)+W$8),0)+ROUND(V66*W$8,0)</f>
        <v>#N/A</v>
      </c>
      <c r="X66" s="53"/>
      <c r="Y66" s="56"/>
      <c r="Z66" s="56"/>
      <c r="AA66" s="83" t="e">
        <f>ROUND(X66*(HLOOKUP(X$7,$D$9:$G66,ROW()-8,0)+AA$8),0)+ROUND(Z66*AA$8,0)</f>
        <v>#N/A</v>
      </c>
      <c r="AB66" s="53"/>
      <c r="AC66" s="56"/>
      <c r="AD66" s="56"/>
      <c r="AE66" s="83" t="e">
        <f>ROUND(AB66*(HLOOKUP(AB$7,$D$9:$G66,ROW()-8,0)+AE$8),0)+ROUND(AD66*AE$8,0)</f>
        <v>#N/A</v>
      </c>
      <c r="AF66" s="53"/>
      <c r="AG66" s="56"/>
      <c r="AH66" s="56"/>
      <c r="AI66" s="83" t="e">
        <f>ROUND(AF66*(HLOOKUP(AF$7,$D$9:$G66,ROW()-8,0)+AI$8),0)+ROUND(AH66*AI$8,0)</f>
        <v>#N/A</v>
      </c>
      <c r="AJ66" s="53"/>
      <c r="AK66" s="56"/>
      <c r="AL66" s="56"/>
      <c r="AM66" s="83" t="e">
        <f>ROUND(AJ66*(HLOOKUP(AJ$7,$D$9:$G66,ROW()-8,0)+AM$8),0)+ROUND(AL66*AM$8,0)</f>
        <v>#N/A</v>
      </c>
      <c r="AN66" s="53"/>
      <c r="AO66" s="56"/>
      <c r="AP66" s="56"/>
      <c r="AQ66" s="83" t="e">
        <f>ROUND(AN66*(HLOOKUP(AN$7,$D$9:$G66,ROW()-8,0)+AQ$8),0)+ROUND(AP66*AQ$8,0)</f>
        <v>#N/A</v>
      </c>
      <c r="AR66" s="53"/>
      <c r="AS66" s="56"/>
      <c r="AT66" s="56"/>
      <c r="AU66" s="83" t="e">
        <f>ROUND(AR66*(HLOOKUP(AR$7,$D$9:$G66,ROW()-8,0)+AU$8),0)+ROUND(AT66*AU$8,0)</f>
        <v>#N/A</v>
      </c>
      <c r="AV66" s="53"/>
      <c r="AW66" s="56"/>
      <c r="AX66" s="56"/>
      <c r="AY66" s="83" t="e">
        <f>ROUND(AV66*(HLOOKUP(AV$7,$D$9:$G66,ROW()-8,0)+AY$8),0)+ROUND(AX66*AY$8,0)</f>
        <v>#N/A</v>
      </c>
      <c r="AZ66" s="53"/>
      <c r="BA66" s="56"/>
      <c r="BB66" s="56"/>
      <c r="BC66" s="83" t="e">
        <f>ROUND(AZ66*(HLOOKUP(AZ$7,$D$9:$G66,ROW()-8,0)+BC$8),0)+ROUND(BB66*BC$8,0)</f>
        <v>#N/A</v>
      </c>
      <c r="BD66" s="53"/>
      <c r="BE66" s="56"/>
      <c r="BF66" s="56"/>
      <c r="BG66" s="83" t="e">
        <f>ROUND(BD66*(HLOOKUP(BD$7,$D$9:$G66,ROW()-8,0)+BG$8),0)+ROUND(BF66*BG$8,0)</f>
        <v>#N/A</v>
      </c>
      <c r="BH66" s="53"/>
      <c r="BI66" s="56"/>
      <c r="BJ66" s="56"/>
      <c r="BK66" s="83" t="e">
        <f>ROUND(BH66*(HLOOKUP(BH$7,$D$9:$G66,ROW()-8,0)+BK$8),0)+ROUND(BJ66*BK$8,0)</f>
        <v>#N/A</v>
      </c>
      <c r="BL66" s="53"/>
      <c r="BM66" s="56"/>
      <c r="BN66" s="56"/>
      <c r="BO66" s="83" t="e">
        <f>ROUND(BL66*(HLOOKUP(BL$7,$D$9:$G66,ROW()-8,0)+BO$8),0)+ROUND(BN66*BO$8,0)</f>
        <v>#N/A</v>
      </c>
      <c r="BP66" s="53"/>
      <c r="BQ66" s="56"/>
      <c r="BR66" s="56"/>
      <c r="BS66" s="83" t="e">
        <f>ROUND(BP66*(HLOOKUP(BP$7,$D$9:$G66,ROW()-8,0)+BS$8),0)+ROUND(BR66*BS$8,0)</f>
        <v>#N/A</v>
      </c>
      <c r="BT66" s="54">
        <f t="shared" si="2"/>
        <v>0</v>
      </c>
      <c r="BU66" s="54">
        <f t="shared" si="2"/>
        <v>0</v>
      </c>
      <c r="BV66" s="54">
        <f t="shared" si="2"/>
        <v>0</v>
      </c>
      <c r="BW66" s="54">
        <f t="shared" si="2"/>
        <v>0</v>
      </c>
      <c r="BX66" s="63"/>
      <c r="BY66" s="107"/>
      <c r="BZ66" s="57" t="e">
        <f t="shared" si="1"/>
        <v>#DIV/0!</v>
      </c>
    </row>
    <row r="67" spans="3:78" ht="17.25">
      <c r="C67" s="64"/>
      <c r="D67" s="105"/>
      <c r="E67" s="106"/>
      <c r="F67" s="106"/>
      <c r="G67" s="110"/>
      <c r="H67" s="95"/>
      <c r="I67" s="56"/>
      <c r="J67" s="56"/>
      <c r="K67" s="83" t="e">
        <f>ROUND(H67*(HLOOKUP(H$7,$D$9:$G67,ROW()-8,0)+K$8),0)+ROUND(J67*K$8,0)</f>
        <v>#N/A</v>
      </c>
      <c r="L67" s="53"/>
      <c r="M67" s="56"/>
      <c r="N67" s="56"/>
      <c r="O67" s="83" t="e">
        <f>ROUND(L67*(HLOOKUP(L$7,$D$9:$G67,ROW()-8,0)+O$8),0)+ROUND(N67*O$8,0)</f>
        <v>#N/A</v>
      </c>
      <c r="P67" s="53"/>
      <c r="Q67" s="56"/>
      <c r="R67" s="56"/>
      <c r="S67" s="83" t="e">
        <f>ROUND(P67*(HLOOKUP(P$7,$D$9:$G67,ROW()-8,0)+S$8),0)+ROUND(R67*S$8,0)</f>
        <v>#N/A</v>
      </c>
      <c r="T67" s="53"/>
      <c r="U67" s="56"/>
      <c r="V67" s="56"/>
      <c r="W67" s="83" t="e">
        <f>ROUND(T67*(HLOOKUP(T$7,$D$9:$G67,ROW()-8,0)+W$8),0)+ROUND(V67*W$8,0)</f>
        <v>#N/A</v>
      </c>
      <c r="X67" s="53"/>
      <c r="Y67" s="56"/>
      <c r="Z67" s="56"/>
      <c r="AA67" s="83" t="e">
        <f>ROUND(X67*(HLOOKUP(X$7,$D$9:$G67,ROW()-8,0)+AA$8),0)+ROUND(Z67*AA$8,0)</f>
        <v>#N/A</v>
      </c>
      <c r="AB67" s="53"/>
      <c r="AC67" s="56"/>
      <c r="AD67" s="56"/>
      <c r="AE67" s="83" t="e">
        <f>ROUND(AB67*(HLOOKUP(AB$7,$D$9:$G67,ROW()-8,0)+AE$8),0)+ROUND(AD67*AE$8,0)</f>
        <v>#N/A</v>
      </c>
      <c r="AF67" s="53"/>
      <c r="AG67" s="56"/>
      <c r="AH67" s="56"/>
      <c r="AI67" s="83" t="e">
        <f>ROUND(AF67*(HLOOKUP(AF$7,$D$9:$G67,ROW()-8,0)+AI$8),0)+ROUND(AH67*AI$8,0)</f>
        <v>#N/A</v>
      </c>
      <c r="AJ67" s="53"/>
      <c r="AK67" s="56"/>
      <c r="AL67" s="56"/>
      <c r="AM67" s="83" t="e">
        <f>ROUND(AJ67*(HLOOKUP(AJ$7,$D$9:$G67,ROW()-8,0)+AM$8),0)+ROUND(AL67*AM$8,0)</f>
        <v>#N/A</v>
      </c>
      <c r="AN67" s="53"/>
      <c r="AO67" s="56"/>
      <c r="AP67" s="56"/>
      <c r="AQ67" s="83" t="e">
        <f>ROUND(AN67*(HLOOKUP(AN$7,$D$9:$G67,ROW()-8,0)+AQ$8),0)+ROUND(AP67*AQ$8,0)</f>
        <v>#N/A</v>
      </c>
      <c r="AR67" s="53"/>
      <c r="AS67" s="56"/>
      <c r="AT67" s="56"/>
      <c r="AU67" s="83" t="e">
        <f>ROUND(AR67*(HLOOKUP(AR$7,$D$9:$G67,ROW()-8,0)+AU$8),0)+ROUND(AT67*AU$8,0)</f>
        <v>#N/A</v>
      </c>
      <c r="AV67" s="53"/>
      <c r="AW67" s="56"/>
      <c r="AX67" s="56"/>
      <c r="AY67" s="83" t="e">
        <f>ROUND(AV67*(HLOOKUP(AV$7,$D$9:$G67,ROW()-8,0)+AY$8),0)+ROUND(AX67*AY$8,0)</f>
        <v>#N/A</v>
      </c>
      <c r="AZ67" s="53"/>
      <c r="BA67" s="56"/>
      <c r="BB67" s="56"/>
      <c r="BC67" s="83" t="e">
        <f>ROUND(AZ67*(HLOOKUP(AZ$7,$D$9:$G67,ROW()-8,0)+BC$8),0)+ROUND(BB67*BC$8,0)</f>
        <v>#N/A</v>
      </c>
      <c r="BD67" s="53"/>
      <c r="BE67" s="56"/>
      <c r="BF67" s="56"/>
      <c r="BG67" s="83" t="e">
        <f>ROUND(BD67*(HLOOKUP(BD$7,$D$9:$G67,ROW()-8,0)+BG$8),0)+ROUND(BF67*BG$8,0)</f>
        <v>#N/A</v>
      </c>
      <c r="BH67" s="53"/>
      <c r="BI67" s="56"/>
      <c r="BJ67" s="56"/>
      <c r="BK67" s="83" t="e">
        <f>ROUND(BH67*(HLOOKUP(BH$7,$D$9:$G67,ROW()-8,0)+BK$8),0)+ROUND(BJ67*BK$8,0)</f>
        <v>#N/A</v>
      </c>
      <c r="BL67" s="53"/>
      <c r="BM67" s="56"/>
      <c r="BN67" s="56"/>
      <c r="BO67" s="83" t="e">
        <f>ROUND(BL67*(HLOOKUP(BL$7,$D$9:$G67,ROW()-8,0)+BO$8),0)+ROUND(BN67*BO$8,0)</f>
        <v>#N/A</v>
      </c>
      <c r="BP67" s="53"/>
      <c r="BQ67" s="56"/>
      <c r="BR67" s="56"/>
      <c r="BS67" s="83" t="e">
        <f>ROUND(BP67*(HLOOKUP(BP$7,$D$9:$G67,ROW()-8,0)+BS$8),0)+ROUND(BR67*BS$8,0)</f>
        <v>#N/A</v>
      </c>
      <c r="BT67" s="54">
        <f t="shared" si="2"/>
        <v>0</v>
      </c>
      <c r="BU67" s="54">
        <f t="shared" si="2"/>
        <v>0</v>
      </c>
      <c r="BV67" s="54">
        <f t="shared" si="2"/>
        <v>0</v>
      </c>
      <c r="BW67" s="54">
        <f t="shared" si="2"/>
        <v>0</v>
      </c>
      <c r="BX67" s="63"/>
      <c r="BY67" s="107"/>
      <c r="BZ67" s="57" t="e">
        <f t="shared" si="1"/>
        <v>#DIV/0!</v>
      </c>
    </row>
    <row r="68" spans="3:78" ht="17.25">
      <c r="C68" s="64"/>
      <c r="D68" s="105"/>
      <c r="E68" s="106"/>
      <c r="F68" s="106"/>
      <c r="G68" s="110"/>
      <c r="H68" s="95"/>
      <c r="I68" s="56"/>
      <c r="J68" s="56"/>
      <c r="K68" s="83" t="e">
        <f>ROUND(H68*(HLOOKUP(H$7,$D$9:$G68,ROW()-8,0)+K$8),0)+ROUND(J68*K$8,0)</f>
        <v>#N/A</v>
      </c>
      <c r="L68" s="53"/>
      <c r="M68" s="56"/>
      <c r="N68" s="56"/>
      <c r="O68" s="83" t="e">
        <f>ROUND(L68*(HLOOKUP(L$7,$D$9:$G68,ROW()-8,0)+O$8),0)+ROUND(N68*O$8,0)</f>
        <v>#N/A</v>
      </c>
      <c r="P68" s="53"/>
      <c r="Q68" s="56"/>
      <c r="R68" s="56"/>
      <c r="S68" s="83" t="e">
        <f>ROUND(P68*(HLOOKUP(P$7,$D$9:$G68,ROW()-8,0)+S$8),0)+ROUND(R68*S$8,0)</f>
        <v>#N/A</v>
      </c>
      <c r="T68" s="53"/>
      <c r="U68" s="56"/>
      <c r="V68" s="56"/>
      <c r="W68" s="83" t="e">
        <f>ROUND(T68*(HLOOKUP(T$7,$D$9:$G68,ROW()-8,0)+W$8),0)+ROUND(V68*W$8,0)</f>
        <v>#N/A</v>
      </c>
      <c r="X68" s="53"/>
      <c r="Y68" s="56"/>
      <c r="Z68" s="56"/>
      <c r="AA68" s="83" t="e">
        <f>ROUND(X68*(HLOOKUP(X$7,$D$9:$G68,ROW()-8,0)+AA$8),0)+ROUND(Z68*AA$8,0)</f>
        <v>#N/A</v>
      </c>
      <c r="AB68" s="53"/>
      <c r="AC68" s="56"/>
      <c r="AD68" s="56"/>
      <c r="AE68" s="83" t="e">
        <f>ROUND(AB68*(HLOOKUP(AB$7,$D$9:$G68,ROW()-8,0)+AE$8),0)+ROUND(AD68*AE$8,0)</f>
        <v>#N/A</v>
      </c>
      <c r="AF68" s="53"/>
      <c r="AG68" s="56"/>
      <c r="AH68" s="56"/>
      <c r="AI68" s="83" t="e">
        <f>ROUND(AF68*(HLOOKUP(AF$7,$D$9:$G68,ROW()-8,0)+AI$8),0)+ROUND(AH68*AI$8,0)</f>
        <v>#N/A</v>
      </c>
      <c r="AJ68" s="53"/>
      <c r="AK68" s="56"/>
      <c r="AL68" s="56"/>
      <c r="AM68" s="83" t="e">
        <f>ROUND(AJ68*(HLOOKUP(AJ$7,$D$9:$G68,ROW()-8,0)+AM$8),0)+ROUND(AL68*AM$8,0)</f>
        <v>#N/A</v>
      </c>
      <c r="AN68" s="53"/>
      <c r="AO68" s="56"/>
      <c r="AP68" s="56"/>
      <c r="AQ68" s="83" t="e">
        <f>ROUND(AN68*(HLOOKUP(AN$7,$D$9:$G68,ROW()-8,0)+AQ$8),0)+ROUND(AP68*AQ$8,0)</f>
        <v>#N/A</v>
      </c>
      <c r="AR68" s="53"/>
      <c r="AS68" s="56"/>
      <c r="AT68" s="56"/>
      <c r="AU68" s="83" t="e">
        <f>ROUND(AR68*(HLOOKUP(AR$7,$D$9:$G68,ROW()-8,0)+AU$8),0)+ROUND(AT68*AU$8,0)</f>
        <v>#N/A</v>
      </c>
      <c r="AV68" s="53"/>
      <c r="AW68" s="56"/>
      <c r="AX68" s="56"/>
      <c r="AY68" s="83" t="e">
        <f>ROUND(AV68*(HLOOKUP(AV$7,$D$9:$G68,ROW()-8,0)+AY$8),0)+ROUND(AX68*AY$8,0)</f>
        <v>#N/A</v>
      </c>
      <c r="AZ68" s="53"/>
      <c r="BA68" s="56"/>
      <c r="BB68" s="56"/>
      <c r="BC68" s="83" t="e">
        <f>ROUND(AZ68*(HLOOKUP(AZ$7,$D$9:$G68,ROW()-8,0)+BC$8),0)+ROUND(BB68*BC$8,0)</f>
        <v>#N/A</v>
      </c>
      <c r="BD68" s="53"/>
      <c r="BE68" s="56"/>
      <c r="BF68" s="56"/>
      <c r="BG68" s="83" t="e">
        <f>ROUND(BD68*(HLOOKUP(BD$7,$D$9:$G68,ROW()-8,0)+BG$8),0)+ROUND(BF68*BG$8,0)</f>
        <v>#N/A</v>
      </c>
      <c r="BH68" s="53"/>
      <c r="BI68" s="56"/>
      <c r="BJ68" s="56"/>
      <c r="BK68" s="83" t="e">
        <f>ROUND(BH68*(HLOOKUP(BH$7,$D$9:$G68,ROW()-8,0)+BK$8),0)+ROUND(BJ68*BK$8,0)</f>
        <v>#N/A</v>
      </c>
      <c r="BL68" s="53"/>
      <c r="BM68" s="56"/>
      <c r="BN68" s="56"/>
      <c r="BO68" s="83" t="e">
        <f>ROUND(BL68*(HLOOKUP(BL$7,$D$9:$G68,ROW()-8,0)+BO$8),0)+ROUND(BN68*BO$8,0)</f>
        <v>#N/A</v>
      </c>
      <c r="BP68" s="53"/>
      <c r="BQ68" s="56"/>
      <c r="BR68" s="56"/>
      <c r="BS68" s="83" t="e">
        <f>ROUND(BP68*(HLOOKUP(BP$7,$D$9:$G68,ROW()-8,0)+BS$8),0)+ROUND(BR68*BS$8,0)</f>
        <v>#N/A</v>
      </c>
      <c r="BT68" s="54">
        <f t="shared" si="2"/>
        <v>0</v>
      </c>
      <c r="BU68" s="54">
        <f t="shared" si="2"/>
        <v>0</v>
      </c>
      <c r="BV68" s="54">
        <f t="shared" si="2"/>
        <v>0</v>
      </c>
      <c r="BW68" s="54">
        <f t="shared" si="2"/>
        <v>0</v>
      </c>
      <c r="BX68" s="63"/>
      <c r="BY68" s="107"/>
      <c r="BZ68" s="57" t="e">
        <f t="shared" si="1"/>
        <v>#DIV/0!</v>
      </c>
    </row>
    <row r="69" spans="3:78" ht="17.25">
      <c r="C69" s="64"/>
      <c r="D69" s="105"/>
      <c r="E69" s="106"/>
      <c r="F69" s="106"/>
      <c r="G69" s="110"/>
      <c r="H69" s="95"/>
      <c r="I69" s="56"/>
      <c r="J69" s="56"/>
      <c r="K69" s="83" t="e">
        <f>ROUND(H69*(HLOOKUP(H$7,$D$9:$G69,ROW()-8,0)+K$8),0)+ROUND(J69*K$8,0)</f>
        <v>#N/A</v>
      </c>
      <c r="L69" s="53"/>
      <c r="M69" s="56"/>
      <c r="N69" s="56"/>
      <c r="O69" s="83" t="e">
        <f>ROUND(L69*(HLOOKUP(L$7,$D$9:$G69,ROW()-8,0)+O$8),0)+ROUND(N69*O$8,0)</f>
        <v>#N/A</v>
      </c>
      <c r="P69" s="53"/>
      <c r="Q69" s="56"/>
      <c r="R69" s="56"/>
      <c r="S69" s="83" t="e">
        <f>ROUND(P69*(HLOOKUP(P$7,$D$9:$G69,ROW()-8,0)+S$8),0)+ROUND(R69*S$8,0)</f>
        <v>#N/A</v>
      </c>
      <c r="T69" s="53"/>
      <c r="U69" s="56"/>
      <c r="V69" s="56"/>
      <c r="W69" s="83" t="e">
        <f>ROUND(T69*(HLOOKUP(T$7,$D$9:$G69,ROW()-8,0)+W$8),0)+ROUND(V69*W$8,0)</f>
        <v>#N/A</v>
      </c>
      <c r="X69" s="53"/>
      <c r="Y69" s="56"/>
      <c r="Z69" s="56"/>
      <c r="AA69" s="83" t="e">
        <f>ROUND(X69*(HLOOKUP(X$7,$D$9:$G69,ROW()-8,0)+AA$8),0)+ROUND(Z69*AA$8,0)</f>
        <v>#N/A</v>
      </c>
      <c r="AB69" s="53"/>
      <c r="AC69" s="56"/>
      <c r="AD69" s="56"/>
      <c r="AE69" s="83" t="e">
        <f>ROUND(AB69*(HLOOKUP(AB$7,$D$9:$G69,ROW()-8,0)+AE$8),0)+ROUND(AD69*AE$8,0)</f>
        <v>#N/A</v>
      </c>
      <c r="AF69" s="53"/>
      <c r="AG69" s="56"/>
      <c r="AH69" s="56"/>
      <c r="AI69" s="83" t="e">
        <f>ROUND(AF69*(HLOOKUP(AF$7,$D$9:$G69,ROW()-8,0)+AI$8),0)+ROUND(AH69*AI$8,0)</f>
        <v>#N/A</v>
      </c>
      <c r="AJ69" s="53"/>
      <c r="AK69" s="56"/>
      <c r="AL69" s="56"/>
      <c r="AM69" s="83" t="e">
        <f>ROUND(AJ69*(HLOOKUP(AJ$7,$D$9:$G69,ROW()-8,0)+AM$8),0)+ROUND(AL69*AM$8,0)</f>
        <v>#N/A</v>
      </c>
      <c r="AN69" s="53"/>
      <c r="AO69" s="56"/>
      <c r="AP69" s="56"/>
      <c r="AQ69" s="83" t="e">
        <f>ROUND(AN69*(HLOOKUP(AN$7,$D$9:$G69,ROW()-8,0)+AQ$8),0)+ROUND(AP69*AQ$8,0)</f>
        <v>#N/A</v>
      </c>
      <c r="AR69" s="53"/>
      <c r="AS69" s="56"/>
      <c r="AT69" s="56"/>
      <c r="AU69" s="83" t="e">
        <f>ROUND(AR69*(HLOOKUP(AR$7,$D$9:$G69,ROW()-8,0)+AU$8),0)+ROUND(AT69*AU$8,0)</f>
        <v>#N/A</v>
      </c>
      <c r="AV69" s="53"/>
      <c r="AW69" s="56"/>
      <c r="AX69" s="56"/>
      <c r="AY69" s="83" t="e">
        <f>ROUND(AV69*(HLOOKUP(AV$7,$D$9:$G69,ROW()-8,0)+AY$8),0)+ROUND(AX69*AY$8,0)</f>
        <v>#N/A</v>
      </c>
      <c r="AZ69" s="53"/>
      <c r="BA69" s="56"/>
      <c r="BB69" s="56"/>
      <c r="BC69" s="83" t="e">
        <f>ROUND(AZ69*(HLOOKUP(AZ$7,$D$9:$G69,ROW()-8,0)+BC$8),0)+ROUND(BB69*BC$8,0)</f>
        <v>#N/A</v>
      </c>
      <c r="BD69" s="53"/>
      <c r="BE69" s="56"/>
      <c r="BF69" s="56"/>
      <c r="BG69" s="83" t="e">
        <f>ROUND(BD69*(HLOOKUP(BD$7,$D$9:$G69,ROW()-8,0)+BG$8),0)+ROUND(BF69*BG$8,0)</f>
        <v>#N/A</v>
      </c>
      <c r="BH69" s="53"/>
      <c r="BI69" s="56"/>
      <c r="BJ69" s="56"/>
      <c r="BK69" s="83" t="e">
        <f>ROUND(BH69*(HLOOKUP(BH$7,$D$9:$G69,ROW()-8,0)+BK$8),0)+ROUND(BJ69*BK$8,0)</f>
        <v>#N/A</v>
      </c>
      <c r="BL69" s="53"/>
      <c r="BM69" s="56"/>
      <c r="BN69" s="56"/>
      <c r="BO69" s="83" t="e">
        <f>ROUND(BL69*(HLOOKUP(BL$7,$D$9:$G69,ROW()-8,0)+BO$8),0)+ROUND(BN69*BO$8,0)</f>
        <v>#N/A</v>
      </c>
      <c r="BP69" s="53"/>
      <c r="BQ69" s="56"/>
      <c r="BR69" s="56"/>
      <c r="BS69" s="83" t="e">
        <f>ROUND(BP69*(HLOOKUP(BP$7,$D$9:$G69,ROW()-8,0)+BS$8),0)+ROUND(BR69*BS$8,0)</f>
        <v>#N/A</v>
      </c>
      <c r="BT69" s="54">
        <f t="shared" si="2"/>
        <v>0</v>
      </c>
      <c r="BU69" s="54">
        <f t="shared" si="2"/>
        <v>0</v>
      </c>
      <c r="BV69" s="54">
        <f t="shared" si="2"/>
        <v>0</v>
      </c>
      <c r="BW69" s="54">
        <f t="shared" si="2"/>
        <v>0</v>
      </c>
      <c r="BX69" s="63"/>
      <c r="BY69" s="107"/>
      <c r="BZ69" s="57" t="e">
        <f t="shared" si="1"/>
        <v>#DIV/0!</v>
      </c>
    </row>
    <row r="70" spans="3:78" ht="17.25">
      <c r="C70" s="64"/>
      <c r="D70" s="105"/>
      <c r="E70" s="106"/>
      <c r="F70" s="106"/>
      <c r="G70" s="110"/>
      <c r="H70" s="95"/>
      <c r="I70" s="56"/>
      <c r="J70" s="56"/>
      <c r="K70" s="83" t="e">
        <f>ROUND(H70*(HLOOKUP(H$7,$D$9:$G70,ROW()-8,0)+K$8),0)+ROUND(J70*K$8,0)</f>
        <v>#N/A</v>
      </c>
      <c r="L70" s="53"/>
      <c r="M70" s="56"/>
      <c r="N70" s="56"/>
      <c r="O70" s="83" t="e">
        <f>ROUND(L70*(HLOOKUP(L$7,$D$9:$G70,ROW()-8,0)+O$8),0)+ROUND(N70*O$8,0)</f>
        <v>#N/A</v>
      </c>
      <c r="P70" s="53"/>
      <c r="Q70" s="56"/>
      <c r="R70" s="56"/>
      <c r="S70" s="83" t="e">
        <f>ROUND(P70*(HLOOKUP(P$7,$D$9:$G70,ROW()-8,0)+S$8),0)+ROUND(R70*S$8,0)</f>
        <v>#N/A</v>
      </c>
      <c r="T70" s="53"/>
      <c r="U70" s="56"/>
      <c r="V70" s="56"/>
      <c r="W70" s="83" t="e">
        <f>ROUND(T70*(HLOOKUP(T$7,$D$9:$G70,ROW()-8,0)+W$8),0)+ROUND(V70*W$8,0)</f>
        <v>#N/A</v>
      </c>
      <c r="X70" s="53"/>
      <c r="Y70" s="56"/>
      <c r="Z70" s="56"/>
      <c r="AA70" s="83" t="e">
        <f>ROUND(X70*(HLOOKUP(X$7,$D$9:$G70,ROW()-8,0)+AA$8),0)+ROUND(Z70*AA$8,0)</f>
        <v>#N/A</v>
      </c>
      <c r="AB70" s="53"/>
      <c r="AC70" s="56"/>
      <c r="AD70" s="56"/>
      <c r="AE70" s="83" t="e">
        <f>ROUND(AB70*(HLOOKUP(AB$7,$D$9:$G70,ROW()-8,0)+AE$8),0)+ROUND(AD70*AE$8,0)</f>
        <v>#N/A</v>
      </c>
      <c r="AF70" s="53"/>
      <c r="AG70" s="56"/>
      <c r="AH70" s="56"/>
      <c r="AI70" s="83" t="e">
        <f>ROUND(AF70*(HLOOKUP(AF$7,$D$9:$G70,ROW()-8,0)+AI$8),0)+ROUND(AH70*AI$8,0)</f>
        <v>#N/A</v>
      </c>
      <c r="AJ70" s="53"/>
      <c r="AK70" s="56"/>
      <c r="AL70" s="56"/>
      <c r="AM70" s="83" t="e">
        <f>ROUND(AJ70*(HLOOKUP(AJ$7,$D$9:$G70,ROW()-8,0)+AM$8),0)+ROUND(AL70*AM$8,0)</f>
        <v>#N/A</v>
      </c>
      <c r="AN70" s="53"/>
      <c r="AO70" s="56"/>
      <c r="AP70" s="56"/>
      <c r="AQ70" s="83" t="e">
        <f>ROUND(AN70*(HLOOKUP(AN$7,$D$9:$G70,ROW()-8,0)+AQ$8),0)+ROUND(AP70*AQ$8,0)</f>
        <v>#N/A</v>
      </c>
      <c r="AR70" s="53"/>
      <c r="AS70" s="56"/>
      <c r="AT70" s="56"/>
      <c r="AU70" s="83" t="e">
        <f>ROUND(AR70*(HLOOKUP(AR$7,$D$9:$G70,ROW()-8,0)+AU$8),0)+ROUND(AT70*AU$8,0)</f>
        <v>#N/A</v>
      </c>
      <c r="AV70" s="53"/>
      <c r="AW70" s="56"/>
      <c r="AX70" s="56"/>
      <c r="AY70" s="83" t="e">
        <f>ROUND(AV70*(HLOOKUP(AV$7,$D$9:$G70,ROW()-8,0)+AY$8),0)+ROUND(AX70*AY$8,0)</f>
        <v>#N/A</v>
      </c>
      <c r="AZ70" s="53"/>
      <c r="BA70" s="56"/>
      <c r="BB70" s="56"/>
      <c r="BC70" s="83" t="e">
        <f>ROUND(AZ70*(HLOOKUP(AZ$7,$D$9:$G70,ROW()-8,0)+BC$8),0)+ROUND(BB70*BC$8,0)</f>
        <v>#N/A</v>
      </c>
      <c r="BD70" s="53"/>
      <c r="BE70" s="56"/>
      <c r="BF70" s="56"/>
      <c r="BG70" s="83" t="e">
        <f>ROUND(BD70*(HLOOKUP(BD$7,$D$9:$G70,ROW()-8,0)+BG$8),0)+ROUND(BF70*BG$8,0)</f>
        <v>#N/A</v>
      </c>
      <c r="BH70" s="53"/>
      <c r="BI70" s="56"/>
      <c r="BJ70" s="56"/>
      <c r="BK70" s="83" t="e">
        <f>ROUND(BH70*(HLOOKUP(BH$7,$D$9:$G70,ROW()-8,0)+BK$8),0)+ROUND(BJ70*BK$8,0)</f>
        <v>#N/A</v>
      </c>
      <c r="BL70" s="53"/>
      <c r="BM70" s="56"/>
      <c r="BN70" s="56"/>
      <c r="BO70" s="83" t="e">
        <f>ROUND(BL70*(HLOOKUP(BL$7,$D$9:$G70,ROW()-8,0)+BO$8),0)+ROUND(BN70*BO$8,0)</f>
        <v>#N/A</v>
      </c>
      <c r="BP70" s="53"/>
      <c r="BQ70" s="56"/>
      <c r="BR70" s="56"/>
      <c r="BS70" s="83" t="e">
        <f>ROUND(BP70*(HLOOKUP(BP$7,$D$9:$G70,ROW()-8,0)+BS$8),0)+ROUND(BR70*BS$8,0)</f>
        <v>#N/A</v>
      </c>
      <c r="BT70" s="54">
        <f t="shared" si="2"/>
        <v>0</v>
      </c>
      <c r="BU70" s="54">
        <f t="shared" si="2"/>
        <v>0</v>
      </c>
      <c r="BV70" s="54">
        <f t="shared" si="2"/>
        <v>0</v>
      </c>
      <c r="BW70" s="54">
        <f t="shared" si="2"/>
        <v>0</v>
      </c>
      <c r="BX70" s="63"/>
      <c r="BY70" s="107"/>
      <c r="BZ70" s="57" t="e">
        <f t="shared" si="1"/>
        <v>#DIV/0!</v>
      </c>
    </row>
    <row r="71" spans="3:78" ht="17.25">
      <c r="C71" s="64"/>
      <c r="D71" s="105"/>
      <c r="E71" s="106"/>
      <c r="F71" s="106"/>
      <c r="G71" s="110"/>
      <c r="H71" s="95"/>
      <c r="I71" s="56"/>
      <c r="J71" s="56"/>
      <c r="K71" s="83" t="e">
        <f>ROUND(H71*(HLOOKUP(H$7,$D$9:$G71,ROW()-8,0)+K$8),0)+ROUND(J71*K$8,0)</f>
        <v>#N/A</v>
      </c>
      <c r="L71" s="53"/>
      <c r="M71" s="56"/>
      <c r="N71" s="56"/>
      <c r="O71" s="83" t="e">
        <f>ROUND(L71*(HLOOKUP(L$7,$D$9:$G71,ROW()-8,0)+O$8),0)+ROUND(N71*O$8,0)</f>
        <v>#N/A</v>
      </c>
      <c r="P71" s="53"/>
      <c r="Q71" s="56"/>
      <c r="R71" s="56"/>
      <c r="S71" s="83" t="e">
        <f>ROUND(P71*(HLOOKUP(P$7,$D$9:$G71,ROW()-8,0)+S$8),0)+ROUND(R71*S$8,0)</f>
        <v>#N/A</v>
      </c>
      <c r="T71" s="53"/>
      <c r="U71" s="56"/>
      <c r="V71" s="56"/>
      <c r="W71" s="83" t="e">
        <f>ROUND(T71*(HLOOKUP(T$7,$D$9:$G71,ROW()-8,0)+W$8),0)+ROUND(V71*W$8,0)</f>
        <v>#N/A</v>
      </c>
      <c r="X71" s="53"/>
      <c r="Y71" s="56"/>
      <c r="Z71" s="56"/>
      <c r="AA71" s="83" t="e">
        <f>ROUND(X71*(HLOOKUP(X$7,$D$9:$G71,ROW()-8,0)+AA$8),0)+ROUND(Z71*AA$8,0)</f>
        <v>#N/A</v>
      </c>
      <c r="AB71" s="53"/>
      <c r="AC71" s="56"/>
      <c r="AD71" s="56"/>
      <c r="AE71" s="83" t="e">
        <f>ROUND(AB71*(HLOOKUP(AB$7,$D$9:$G71,ROW()-8,0)+AE$8),0)+ROUND(AD71*AE$8,0)</f>
        <v>#N/A</v>
      </c>
      <c r="AF71" s="53"/>
      <c r="AG71" s="56"/>
      <c r="AH71" s="56"/>
      <c r="AI71" s="83" t="e">
        <f>ROUND(AF71*(HLOOKUP(AF$7,$D$9:$G71,ROW()-8,0)+AI$8),0)+ROUND(AH71*AI$8,0)</f>
        <v>#N/A</v>
      </c>
      <c r="AJ71" s="53"/>
      <c r="AK71" s="56"/>
      <c r="AL71" s="56"/>
      <c r="AM71" s="83" t="e">
        <f>ROUND(AJ71*(HLOOKUP(AJ$7,$D$9:$G71,ROW()-8,0)+AM$8),0)+ROUND(AL71*AM$8,0)</f>
        <v>#N/A</v>
      </c>
      <c r="AN71" s="53"/>
      <c r="AO71" s="56"/>
      <c r="AP71" s="56"/>
      <c r="AQ71" s="83" t="e">
        <f>ROUND(AN71*(HLOOKUP(AN$7,$D$9:$G71,ROW()-8,0)+AQ$8),0)+ROUND(AP71*AQ$8,0)</f>
        <v>#N/A</v>
      </c>
      <c r="AR71" s="53"/>
      <c r="AS71" s="56"/>
      <c r="AT71" s="56"/>
      <c r="AU71" s="83" t="e">
        <f>ROUND(AR71*(HLOOKUP(AR$7,$D$9:$G71,ROW()-8,0)+AU$8),0)+ROUND(AT71*AU$8,0)</f>
        <v>#N/A</v>
      </c>
      <c r="AV71" s="53"/>
      <c r="AW71" s="56"/>
      <c r="AX71" s="56"/>
      <c r="AY71" s="83" t="e">
        <f>ROUND(AV71*(HLOOKUP(AV$7,$D$9:$G71,ROW()-8,0)+AY$8),0)+ROUND(AX71*AY$8,0)</f>
        <v>#N/A</v>
      </c>
      <c r="AZ71" s="53"/>
      <c r="BA71" s="56"/>
      <c r="BB71" s="56"/>
      <c r="BC71" s="83" t="e">
        <f>ROUND(AZ71*(HLOOKUP(AZ$7,$D$9:$G71,ROW()-8,0)+BC$8),0)+ROUND(BB71*BC$8,0)</f>
        <v>#N/A</v>
      </c>
      <c r="BD71" s="53"/>
      <c r="BE71" s="56"/>
      <c r="BF71" s="56"/>
      <c r="BG71" s="83" t="e">
        <f>ROUND(BD71*(HLOOKUP(BD$7,$D$9:$G71,ROW()-8,0)+BG$8),0)+ROUND(BF71*BG$8,0)</f>
        <v>#N/A</v>
      </c>
      <c r="BH71" s="53"/>
      <c r="BI71" s="56"/>
      <c r="BJ71" s="56"/>
      <c r="BK71" s="83" t="e">
        <f>ROUND(BH71*(HLOOKUP(BH$7,$D$9:$G71,ROW()-8,0)+BK$8),0)+ROUND(BJ71*BK$8,0)</f>
        <v>#N/A</v>
      </c>
      <c r="BL71" s="53"/>
      <c r="BM71" s="56"/>
      <c r="BN71" s="56"/>
      <c r="BO71" s="83" t="e">
        <f>ROUND(BL71*(HLOOKUP(BL$7,$D$9:$G71,ROW()-8,0)+BO$8),0)+ROUND(BN71*BO$8,0)</f>
        <v>#N/A</v>
      </c>
      <c r="BP71" s="53"/>
      <c r="BQ71" s="56"/>
      <c r="BR71" s="56"/>
      <c r="BS71" s="83" t="e">
        <f>ROUND(BP71*(HLOOKUP(BP$7,$D$9:$G71,ROW()-8,0)+BS$8),0)+ROUND(BR71*BS$8,0)</f>
        <v>#N/A</v>
      </c>
      <c r="BT71" s="54">
        <f t="shared" si="2"/>
        <v>0</v>
      </c>
      <c r="BU71" s="54">
        <f t="shared" si="2"/>
        <v>0</v>
      </c>
      <c r="BV71" s="54">
        <f t="shared" si="2"/>
        <v>0</v>
      </c>
      <c r="BW71" s="54">
        <f t="shared" si="2"/>
        <v>0</v>
      </c>
      <c r="BX71" s="63"/>
      <c r="BY71" s="107"/>
      <c r="BZ71" s="57" t="e">
        <f t="shared" si="1"/>
        <v>#DIV/0!</v>
      </c>
    </row>
    <row r="72" spans="3:78" ht="17.25">
      <c r="C72" s="64"/>
      <c r="D72" s="105"/>
      <c r="E72" s="106"/>
      <c r="F72" s="106"/>
      <c r="G72" s="110"/>
      <c r="H72" s="95"/>
      <c r="I72" s="56"/>
      <c r="J72" s="56"/>
      <c r="K72" s="83" t="e">
        <f>ROUND(H72*(HLOOKUP(H$7,$D$9:$G72,ROW()-8,0)+K$8),0)+ROUND(J72*K$8,0)</f>
        <v>#N/A</v>
      </c>
      <c r="L72" s="53"/>
      <c r="M72" s="56"/>
      <c r="N72" s="56"/>
      <c r="O72" s="83" t="e">
        <f>ROUND(L72*(HLOOKUP(L$7,$D$9:$G72,ROW()-8,0)+O$8),0)+ROUND(N72*O$8,0)</f>
        <v>#N/A</v>
      </c>
      <c r="P72" s="53"/>
      <c r="Q72" s="56"/>
      <c r="R72" s="56"/>
      <c r="S72" s="83" t="e">
        <f>ROUND(P72*(HLOOKUP(P$7,$D$9:$G72,ROW()-8,0)+S$8),0)+ROUND(R72*S$8,0)</f>
        <v>#N/A</v>
      </c>
      <c r="T72" s="53"/>
      <c r="U72" s="56"/>
      <c r="V72" s="56"/>
      <c r="W72" s="83" t="e">
        <f>ROUND(T72*(HLOOKUP(T$7,$D$9:$G72,ROW()-8,0)+W$8),0)+ROUND(V72*W$8,0)</f>
        <v>#N/A</v>
      </c>
      <c r="X72" s="53"/>
      <c r="Y72" s="56"/>
      <c r="Z72" s="56"/>
      <c r="AA72" s="83" t="e">
        <f>ROUND(X72*(HLOOKUP(X$7,$D$9:$G72,ROW()-8,0)+AA$8),0)+ROUND(Z72*AA$8,0)</f>
        <v>#N/A</v>
      </c>
      <c r="AB72" s="53"/>
      <c r="AC72" s="56"/>
      <c r="AD72" s="56"/>
      <c r="AE72" s="83" t="e">
        <f>ROUND(AB72*(HLOOKUP(AB$7,$D$9:$G72,ROW()-8,0)+AE$8),0)+ROUND(AD72*AE$8,0)</f>
        <v>#N/A</v>
      </c>
      <c r="AF72" s="53"/>
      <c r="AG72" s="56"/>
      <c r="AH72" s="56"/>
      <c r="AI72" s="83" t="e">
        <f>ROUND(AF72*(HLOOKUP(AF$7,$D$9:$G72,ROW()-8,0)+AI$8),0)+ROUND(AH72*AI$8,0)</f>
        <v>#N/A</v>
      </c>
      <c r="AJ72" s="53"/>
      <c r="AK72" s="56"/>
      <c r="AL72" s="56"/>
      <c r="AM72" s="83" t="e">
        <f>ROUND(AJ72*(HLOOKUP(AJ$7,$D$9:$G72,ROW()-8,0)+AM$8),0)+ROUND(AL72*AM$8,0)</f>
        <v>#N/A</v>
      </c>
      <c r="AN72" s="53"/>
      <c r="AO72" s="56"/>
      <c r="AP72" s="56"/>
      <c r="AQ72" s="83" t="e">
        <f>ROUND(AN72*(HLOOKUP(AN$7,$D$9:$G72,ROW()-8,0)+AQ$8),0)+ROUND(AP72*AQ$8,0)</f>
        <v>#N/A</v>
      </c>
      <c r="AR72" s="53"/>
      <c r="AS72" s="56"/>
      <c r="AT72" s="56"/>
      <c r="AU72" s="83" t="e">
        <f>ROUND(AR72*(HLOOKUP(AR$7,$D$9:$G72,ROW()-8,0)+AU$8),0)+ROUND(AT72*AU$8,0)</f>
        <v>#N/A</v>
      </c>
      <c r="AV72" s="53"/>
      <c r="AW72" s="56"/>
      <c r="AX72" s="56"/>
      <c r="AY72" s="83" t="e">
        <f>ROUND(AV72*(HLOOKUP(AV$7,$D$9:$G72,ROW()-8,0)+AY$8),0)+ROUND(AX72*AY$8,0)</f>
        <v>#N/A</v>
      </c>
      <c r="AZ72" s="53"/>
      <c r="BA72" s="56"/>
      <c r="BB72" s="56"/>
      <c r="BC72" s="83" t="e">
        <f>ROUND(AZ72*(HLOOKUP(AZ$7,$D$9:$G72,ROW()-8,0)+BC$8),0)+ROUND(BB72*BC$8,0)</f>
        <v>#N/A</v>
      </c>
      <c r="BD72" s="53"/>
      <c r="BE72" s="56"/>
      <c r="BF72" s="56"/>
      <c r="BG72" s="83" t="e">
        <f>ROUND(BD72*(HLOOKUP(BD$7,$D$9:$G72,ROW()-8,0)+BG$8),0)+ROUND(BF72*BG$8,0)</f>
        <v>#N/A</v>
      </c>
      <c r="BH72" s="53"/>
      <c r="BI72" s="56"/>
      <c r="BJ72" s="56"/>
      <c r="BK72" s="83" t="e">
        <f>ROUND(BH72*(HLOOKUP(BH$7,$D$9:$G72,ROW()-8,0)+BK$8),0)+ROUND(BJ72*BK$8,0)</f>
        <v>#N/A</v>
      </c>
      <c r="BL72" s="53"/>
      <c r="BM72" s="56"/>
      <c r="BN72" s="56"/>
      <c r="BO72" s="83" t="e">
        <f>ROUND(BL72*(HLOOKUP(BL$7,$D$9:$G72,ROW()-8,0)+BO$8),0)+ROUND(BN72*BO$8,0)</f>
        <v>#N/A</v>
      </c>
      <c r="BP72" s="53"/>
      <c r="BQ72" s="56"/>
      <c r="BR72" s="56"/>
      <c r="BS72" s="83" t="e">
        <f>ROUND(BP72*(HLOOKUP(BP$7,$D$9:$G72,ROW()-8,0)+BS$8),0)+ROUND(BR72*BS$8,0)</f>
        <v>#N/A</v>
      </c>
      <c r="BT72" s="54">
        <f t="shared" si="2"/>
        <v>0</v>
      </c>
      <c r="BU72" s="54">
        <f t="shared" si="2"/>
        <v>0</v>
      </c>
      <c r="BV72" s="54">
        <f t="shared" si="2"/>
        <v>0</v>
      </c>
      <c r="BW72" s="54">
        <f t="shared" si="2"/>
        <v>0</v>
      </c>
      <c r="BX72" s="63"/>
      <c r="BY72" s="107"/>
      <c r="BZ72" s="57" t="e">
        <f t="shared" si="1"/>
        <v>#DIV/0!</v>
      </c>
    </row>
    <row r="73" spans="3:78" ht="17.25">
      <c r="C73" s="64"/>
      <c r="D73" s="105"/>
      <c r="E73" s="106"/>
      <c r="F73" s="106"/>
      <c r="G73" s="110"/>
      <c r="H73" s="95"/>
      <c r="I73" s="56"/>
      <c r="J73" s="56"/>
      <c r="K73" s="83" t="e">
        <f>ROUND(H73*(HLOOKUP(H$7,$D$9:$G73,ROW()-8,0)+K$8),0)+ROUND(J73*K$8,0)</f>
        <v>#N/A</v>
      </c>
      <c r="L73" s="53"/>
      <c r="M73" s="56"/>
      <c r="N73" s="56"/>
      <c r="O73" s="83" t="e">
        <f>ROUND(L73*(HLOOKUP(L$7,$D$9:$G73,ROW()-8,0)+O$8),0)+ROUND(N73*O$8,0)</f>
        <v>#N/A</v>
      </c>
      <c r="P73" s="53"/>
      <c r="Q73" s="56"/>
      <c r="R73" s="56"/>
      <c r="S73" s="83" t="e">
        <f>ROUND(P73*(HLOOKUP(P$7,$D$9:$G73,ROW()-8,0)+S$8),0)+ROUND(R73*S$8,0)</f>
        <v>#N/A</v>
      </c>
      <c r="T73" s="53"/>
      <c r="U73" s="56"/>
      <c r="V73" s="56"/>
      <c r="W73" s="83" t="e">
        <f>ROUND(T73*(HLOOKUP(T$7,$D$9:$G73,ROW()-8,0)+W$8),0)+ROUND(V73*W$8,0)</f>
        <v>#N/A</v>
      </c>
      <c r="X73" s="53"/>
      <c r="Y73" s="56"/>
      <c r="Z73" s="56"/>
      <c r="AA73" s="83" t="e">
        <f>ROUND(X73*(HLOOKUP(X$7,$D$9:$G73,ROW()-8,0)+AA$8),0)+ROUND(Z73*AA$8,0)</f>
        <v>#N/A</v>
      </c>
      <c r="AB73" s="53"/>
      <c r="AC73" s="56"/>
      <c r="AD73" s="56"/>
      <c r="AE73" s="83" t="e">
        <f>ROUND(AB73*(HLOOKUP(AB$7,$D$9:$G73,ROW()-8,0)+AE$8),0)+ROUND(AD73*AE$8,0)</f>
        <v>#N/A</v>
      </c>
      <c r="AF73" s="53"/>
      <c r="AG73" s="56"/>
      <c r="AH73" s="56"/>
      <c r="AI73" s="83" t="e">
        <f>ROUND(AF73*(HLOOKUP(AF$7,$D$9:$G73,ROW()-8,0)+AI$8),0)+ROUND(AH73*AI$8,0)</f>
        <v>#N/A</v>
      </c>
      <c r="AJ73" s="53"/>
      <c r="AK73" s="56"/>
      <c r="AL73" s="56"/>
      <c r="AM73" s="83" t="e">
        <f>ROUND(AJ73*(HLOOKUP(AJ$7,$D$9:$G73,ROW()-8,0)+AM$8),0)+ROUND(AL73*AM$8,0)</f>
        <v>#N/A</v>
      </c>
      <c r="AN73" s="53"/>
      <c r="AO73" s="56"/>
      <c r="AP73" s="56"/>
      <c r="AQ73" s="83" t="e">
        <f>ROUND(AN73*(HLOOKUP(AN$7,$D$9:$G73,ROW()-8,0)+AQ$8),0)+ROUND(AP73*AQ$8,0)</f>
        <v>#N/A</v>
      </c>
      <c r="AR73" s="53"/>
      <c r="AS73" s="56"/>
      <c r="AT73" s="56"/>
      <c r="AU73" s="83" t="e">
        <f>ROUND(AR73*(HLOOKUP(AR$7,$D$9:$G73,ROW()-8,0)+AU$8),0)+ROUND(AT73*AU$8,0)</f>
        <v>#N/A</v>
      </c>
      <c r="AV73" s="53"/>
      <c r="AW73" s="56"/>
      <c r="AX73" s="56"/>
      <c r="AY73" s="83" t="e">
        <f>ROUND(AV73*(HLOOKUP(AV$7,$D$9:$G73,ROW()-8,0)+AY$8),0)+ROUND(AX73*AY$8,0)</f>
        <v>#N/A</v>
      </c>
      <c r="AZ73" s="53"/>
      <c r="BA73" s="56"/>
      <c r="BB73" s="56"/>
      <c r="BC73" s="83" t="e">
        <f>ROUND(AZ73*(HLOOKUP(AZ$7,$D$9:$G73,ROW()-8,0)+BC$8),0)+ROUND(BB73*BC$8,0)</f>
        <v>#N/A</v>
      </c>
      <c r="BD73" s="53"/>
      <c r="BE73" s="56"/>
      <c r="BF73" s="56"/>
      <c r="BG73" s="83" t="e">
        <f>ROUND(BD73*(HLOOKUP(BD$7,$D$9:$G73,ROW()-8,0)+BG$8),0)+ROUND(BF73*BG$8,0)</f>
        <v>#N/A</v>
      </c>
      <c r="BH73" s="53"/>
      <c r="BI73" s="56"/>
      <c r="BJ73" s="56"/>
      <c r="BK73" s="83" t="e">
        <f>ROUND(BH73*(HLOOKUP(BH$7,$D$9:$G73,ROW()-8,0)+BK$8),0)+ROUND(BJ73*BK$8,0)</f>
        <v>#N/A</v>
      </c>
      <c r="BL73" s="53"/>
      <c r="BM73" s="56"/>
      <c r="BN73" s="56"/>
      <c r="BO73" s="83" t="e">
        <f>ROUND(BL73*(HLOOKUP(BL$7,$D$9:$G73,ROW()-8,0)+BO$8),0)+ROUND(BN73*BO$8,0)</f>
        <v>#N/A</v>
      </c>
      <c r="BP73" s="53"/>
      <c r="BQ73" s="56"/>
      <c r="BR73" s="56"/>
      <c r="BS73" s="83" t="e">
        <f>ROUND(BP73*(HLOOKUP(BP$7,$D$9:$G73,ROW()-8,0)+BS$8),0)+ROUND(BR73*BS$8,0)</f>
        <v>#N/A</v>
      </c>
      <c r="BT73" s="54">
        <f t="shared" si="2"/>
        <v>0</v>
      </c>
      <c r="BU73" s="54">
        <f t="shared" si="2"/>
        <v>0</v>
      </c>
      <c r="BV73" s="54">
        <f t="shared" si="2"/>
        <v>0</v>
      </c>
      <c r="BW73" s="54">
        <f t="shared" si="2"/>
        <v>0</v>
      </c>
      <c r="BX73" s="63"/>
      <c r="BY73" s="107"/>
      <c r="BZ73" s="57" t="e">
        <f t="shared" si="1"/>
        <v>#DIV/0!</v>
      </c>
    </row>
    <row r="74" spans="3:78" ht="17.25">
      <c r="C74" s="64"/>
      <c r="D74" s="105"/>
      <c r="E74" s="106"/>
      <c r="F74" s="106"/>
      <c r="G74" s="110"/>
      <c r="H74" s="95"/>
      <c r="I74" s="56"/>
      <c r="J74" s="56"/>
      <c r="K74" s="83" t="e">
        <f>ROUND(H74*(HLOOKUP(H$7,$D$9:$G74,ROW()-8,0)+K$8),0)+ROUND(J74*K$8,0)</f>
        <v>#N/A</v>
      </c>
      <c r="L74" s="53"/>
      <c r="M74" s="56"/>
      <c r="N74" s="56"/>
      <c r="O74" s="83" t="e">
        <f>ROUND(L74*(HLOOKUP(L$7,$D$9:$G74,ROW()-8,0)+O$8),0)+ROUND(N74*O$8,0)</f>
        <v>#N/A</v>
      </c>
      <c r="P74" s="53"/>
      <c r="Q74" s="56"/>
      <c r="R74" s="56"/>
      <c r="S74" s="83" t="e">
        <f>ROUND(P74*(HLOOKUP(P$7,$D$9:$G74,ROW()-8,0)+S$8),0)+ROUND(R74*S$8,0)</f>
        <v>#N/A</v>
      </c>
      <c r="T74" s="53"/>
      <c r="U74" s="56"/>
      <c r="V74" s="56"/>
      <c r="W74" s="83" t="e">
        <f>ROUND(T74*(HLOOKUP(T$7,$D$9:$G74,ROW()-8,0)+W$8),0)+ROUND(V74*W$8,0)</f>
        <v>#N/A</v>
      </c>
      <c r="X74" s="53"/>
      <c r="Y74" s="56"/>
      <c r="Z74" s="56"/>
      <c r="AA74" s="83" t="e">
        <f>ROUND(X74*(HLOOKUP(X$7,$D$9:$G74,ROW()-8,0)+AA$8),0)+ROUND(Z74*AA$8,0)</f>
        <v>#N/A</v>
      </c>
      <c r="AB74" s="53"/>
      <c r="AC74" s="56"/>
      <c r="AD74" s="56"/>
      <c r="AE74" s="83" t="e">
        <f>ROUND(AB74*(HLOOKUP(AB$7,$D$9:$G74,ROW()-8,0)+AE$8),0)+ROUND(AD74*AE$8,0)</f>
        <v>#N/A</v>
      </c>
      <c r="AF74" s="53"/>
      <c r="AG74" s="56"/>
      <c r="AH74" s="56"/>
      <c r="AI74" s="83" t="e">
        <f>ROUND(AF74*(HLOOKUP(AF$7,$D$9:$G74,ROW()-8,0)+AI$8),0)+ROUND(AH74*AI$8,0)</f>
        <v>#N/A</v>
      </c>
      <c r="AJ74" s="53"/>
      <c r="AK74" s="56"/>
      <c r="AL74" s="56"/>
      <c r="AM74" s="83" t="e">
        <f>ROUND(AJ74*(HLOOKUP(AJ$7,$D$9:$G74,ROW()-8,0)+AM$8),0)+ROUND(AL74*AM$8,0)</f>
        <v>#N/A</v>
      </c>
      <c r="AN74" s="53"/>
      <c r="AO74" s="56"/>
      <c r="AP74" s="56"/>
      <c r="AQ74" s="83" t="e">
        <f>ROUND(AN74*(HLOOKUP(AN$7,$D$9:$G74,ROW()-8,0)+AQ$8),0)+ROUND(AP74*AQ$8,0)</f>
        <v>#N/A</v>
      </c>
      <c r="AR74" s="53"/>
      <c r="AS74" s="56"/>
      <c r="AT74" s="56"/>
      <c r="AU74" s="83" t="e">
        <f>ROUND(AR74*(HLOOKUP(AR$7,$D$9:$G74,ROW()-8,0)+AU$8),0)+ROUND(AT74*AU$8,0)</f>
        <v>#N/A</v>
      </c>
      <c r="AV74" s="53"/>
      <c r="AW74" s="56"/>
      <c r="AX74" s="56"/>
      <c r="AY74" s="83" t="e">
        <f>ROUND(AV74*(HLOOKUP(AV$7,$D$9:$G74,ROW()-8,0)+AY$8),0)+ROUND(AX74*AY$8,0)</f>
        <v>#N/A</v>
      </c>
      <c r="AZ74" s="53"/>
      <c r="BA74" s="56"/>
      <c r="BB74" s="56"/>
      <c r="BC74" s="83" t="e">
        <f>ROUND(AZ74*(HLOOKUP(AZ$7,$D$9:$G74,ROW()-8,0)+BC$8),0)+ROUND(BB74*BC$8,0)</f>
        <v>#N/A</v>
      </c>
      <c r="BD74" s="53"/>
      <c r="BE74" s="56"/>
      <c r="BF74" s="56"/>
      <c r="BG74" s="83" t="e">
        <f>ROUND(BD74*(HLOOKUP(BD$7,$D$9:$G74,ROW()-8,0)+BG$8),0)+ROUND(BF74*BG$8,0)</f>
        <v>#N/A</v>
      </c>
      <c r="BH74" s="53"/>
      <c r="BI74" s="56"/>
      <c r="BJ74" s="56"/>
      <c r="BK74" s="83" t="e">
        <f>ROUND(BH74*(HLOOKUP(BH$7,$D$9:$G74,ROW()-8,0)+BK$8),0)+ROUND(BJ74*BK$8,0)</f>
        <v>#N/A</v>
      </c>
      <c r="BL74" s="53"/>
      <c r="BM74" s="56"/>
      <c r="BN74" s="56"/>
      <c r="BO74" s="83" t="e">
        <f>ROUND(BL74*(HLOOKUP(BL$7,$D$9:$G74,ROW()-8,0)+BO$8),0)+ROUND(BN74*BO$8,0)</f>
        <v>#N/A</v>
      </c>
      <c r="BP74" s="53"/>
      <c r="BQ74" s="56"/>
      <c r="BR74" s="56"/>
      <c r="BS74" s="83" t="e">
        <f>ROUND(BP74*(HLOOKUP(BP$7,$D$9:$G74,ROW()-8,0)+BS$8),0)+ROUND(BR74*BS$8,0)</f>
        <v>#N/A</v>
      </c>
      <c r="BT74" s="54">
        <f t="shared" si="2"/>
        <v>0</v>
      </c>
      <c r="BU74" s="54">
        <f t="shared" si="2"/>
        <v>0</v>
      </c>
      <c r="BV74" s="54">
        <f t="shared" si="2"/>
        <v>0</v>
      </c>
      <c r="BW74" s="54">
        <f t="shared" si="2"/>
        <v>0</v>
      </c>
      <c r="BX74" s="63"/>
      <c r="BY74" s="107"/>
      <c r="BZ74" s="57" t="e">
        <f t="shared" ref="BZ74:BZ99" si="3">+BX74/BY74</f>
        <v>#DIV/0!</v>
      </c>
    </row>
    <row r="75" spans="3:78" ht="17.25">
      <c r="C75" s="64"/>
      <c r="D75" s="105"/>
      <c r="E75" s="106"/>
      <c r="F75" s="106"/>
      <c r="G75" s="110"/>
      <c r="H75" s="95"/>
      <c r="I75" s="56"/>
      <c r="J75" s="56"/>
      <c r="K75" s="83" t="e">
        <f>ROUND(H75*(HLOOKUP(H$7,$D$9:$G75,ROW()-8,0)+K$8),0)+ROUND(J75*K$8,0)</f>
        <v>#N/A</v>
      </c>
      <c r="L75" s="53"/>
      <c r="M75" s="56"/>
      <c r="N75" s="56"/>
      <c r="O75" s="83" t="e">
        <f>ROUND(L75*(HLOOKUP(L$7,$D$9:$G75,ROW()-8,0)+O$8),0)+ROUND(N75*O$8,0)</f>
        <v>#N/A</v>
      </c>
      <c r="P75" s="53"/>
      <c r="Q75" s="56"/>
      <c r="R75" s="56"/>
      <c r="S75" s="83" t="e">
        <f>ROUND(P75*(HLOOKUP(P$7,$D$9:$G75,ROW()-8,0)+S$8),0)+ROUND(R75*S$8,0)</f>
        <v>#N/A</v>
      </c>
      <c r="T75" s="53"/>
      <c r="U75" s="56"/>
      <c r="V75" s="56"/>
      <c r="W75" s="83" t="e">
        <f>ROUND(T75*(HLOOKUP(T$7,$D$9:$G75,ROW()-8,0)+W$8),0)+ROUND(V75*W$8,0)</f>
        <v>#N/A</v>
      </c>
      <c r="X75" s="53"/>
      <c r="Y75" s="56"/>
      <c r="Z75" s="56"/>
      <c r="AA75" s="83" t="e">
        <f>ROUND(X75*(HLOOKUP(X$7,$D$9:$G75,ROW()-8,0)+AA$8),0)+ROUND(Z75*AA$8,0)</f>
        <v>#N/A</v>
      </c>
      <c r="AB75" s="53"/>
      <c r="AC75" s="56"/>
      <c r="AD75" s="56"/>
      <c r="AE75" s="83" t="e">
        <f>ROUND(AB75*(HLOOKUP(AB$7,$D$9:$G75,ROW()-8,0)+AE$8),0)+ROUND(AD75*AE$8,0)</f>
        <v>#N/A</v>
      </c>
      <c r="AF75" s="53"/>
      <c r="AG75" s="56"/>
      <c r="AH75" s="56"/>
      <c r="AI75" s="83" t="e">
        <f>ROUND(AF75*(HLOOKUP(AF$7,$D$9:$G75,ROW()-8,0)+AI$8),0)+ROUND(AH75*AI$8,0)</f>
        <v>#N/A</v>
      </c>
      <c r="AJ75" s="53"/>
      <c r="AK75" s="56"/>
      <c r="AL75" s="56"/>
      <c r="AM75" s="83" t="e">
        <f>ROUND(AJ75*(HLOOKUP(AJ$7,$D$9:$G75,ROW()-8,0)+AM$8),0)+ROUND(AL75*AM$8,0)</f>
        <v>#N/A</v>
      </c>
      <c r="AN75" s="53"/>
      <c r="AO75" s="56"/>
      <c r="AP75" s="56"/>
      <c r="AQ75" s="83" t="e">
        <f>ROUND(AN75*(HLOOKUP(AN$7,$D$9:$G75,ROW()-8,0)+AQ$8),0)+ROUND(AP75*AQ$8,0)</f>
        <v>#N/A</v>
      </c>
      <c r="AR75" s="53"/>
      <c r="AS75" s="56"/>
      <c r="AT75" s="56"/>
      <c r="AU75" s="83" t="e">
        <f>ROUND(AR75*(HLOOKUP(AR$7,$D$9:$G75,ROW()-8,0)+AU$8),0)+ROUND(AT75*AU$8,0)</f>
        <v>#N/A</v>
      </c>
      <c r="AV75" s="53"/>
      <c r="AW75" s="56"/>
      <c r="AX75" s="56"/>
      <c r="AY75" s="83" t="e">
        <f>ROUND(AV75*(HLOOKUP(AV$7,$D$9:$G75,ROW()-8,0)+AY$8),0)+ROUND(AX75*AY$8,0)</f>
        <v>#N/A</v>
      </c>
      <c r="AZ75" s="53"/>
      <c r="BA75" s="56"/>
      <c r="BB75" s="56"/>
      <c r="BC75" s="83" t="e">
        <f>ROUND(AZ75*(HLOOKUP(AZ$7,$D$9:$G75,ROW()-8,0)+BC$8),0)+ROUND(BB75*BC$8,0)</f>
        <v>#N/A</v>
      </c>
      <c r="BD75" s="53"/>
      <c r="BE75" s="56"/>
      <c r="BF75" s="56"/>
      <c r="BG75" s="83" t="e">
        <f>ROUND(BD75*(HLOOKUP(BD$7,$D$9:$G75,ROW()-8,0)+BG$8),0)+ROUND(BF75*BG$8,0)</f>
        <v>#N/A</v>
      </c>
      <c r="BH75" s="53"/>
      <c r="BI75" s="56"/>
      <c r="BJ75" s="56"/>
      <c r="BK75" s="83" t="e">
        <f>ROUND(BH75*(HLOOKUP(BH$7,$D$9:$G75,ROW()-8,0)+BK$8),0)+ROUND(BJ75*BK$8,0)</f>
        <v>#N/A</v>
      </c>
      <c r="BL75" s="53"/>
      <c r="BM75" s="56"/>
      <c r="BN75" s="56"/>
      <c r="BO75" s="83" t="e">
        <f>ROUND(BL75*(HLOOKUP(BL$7,$D$9:$G75,ROW()-8,0)+BO$8),0)+ROUND(BN75*BO$8,0)</f>
        <v>#N/A</v>
      </c>
      <c r="BP75" s="53"/>
      <c r="BQ75" s="56"/>
      <c r="BR75" s="56"/>
      <c r="BS75" s="83" t="e">
        <f>ROUND(BP75*(HLOOKUP(BP$7,$D$9:$G75,ROW()-8,0)+BS$8),0)+ROUND(BR75*BS$8,0)</f>
        <v>#N/A</v>
      </c>
      <c r="BT75" s="54">
        <f t="shared" ref="BT75:BW99" si="4">SUMIF($H$7:$BP$7,BT$8,$K75:$BS75)</f>
        <v>0</v>
      </c>
      <c r="BU75" s="54">
        <f t="shared" si="4"/>
        <v>0</v>
      </c>
      <c r="BV75" s="54">
        <f t="shared" si="4"/>
        <v>0</v>
      </c>
      <c r="BW75" s="54">
        <f t="shared" si="4"/>
        <v>0</v>
      </c>
      <c r="BX75" s="63"/>
      <c r="BY75" s="107"/>
      <c r="BZ75" s="57" t="e">
        <f t="shared" si="3"/>
        <v>#DIV/0!</v>
      </c>
    </row>
    <row r="76" spans="3:78" ht="17.25">
      <c r="C76" s="64"/>
      <c r="D76" s="105"/>
      <c r="E76" s="106"/>
      <c r="F76" s="106"/>
      <c r="G76" s="110"/>
      <c r="H76" s="95"/>
      <c r="I76" s="56"/>
      <c r="J76" s="56"/>
      <c r="K76" s="83" t="e">
        <f>ROUND(H76*(HLOOKUP(H$7,$D$9:$G76,ROW()-8,0)+K$8),0)+ROUND(J76*K$8,0)</f>
        <v>#N/A</v>
      </c>
      <c r="L76" s="53"/>
      <c r="M76" s="56"/>
      <c r="N76" s="56"/>
      <c r="O76" s="83" t="e">
        <f>ROUND(L76*(HLOOKUP(L$7,$D$9:$G76,ROW()-8,0)+O$8),0)+ROUND(N76*O$8,0)</f>
        <v>#N/A</v>
      </c>
      <c r="P76" s="53"/>
      <c r="Q76" s="56"/>
      <c r="R76" s="56"/>
      <c r="S76" s="83" t="e">
        <f>ROUND(P76*(HLOOKUP(P$7,$D$9:$G76,ROW()-8,0)+S$8),0)+ROUND(R76*S$8,0)</f>
        <v>#N/A</v>
      </c>
      <c r="T76" s="53"/>
      <c r="U76" s="56"/>
      <c r="V76" s="56"/>
      <c r="W76" s="83" t="e">
        <f>ROUND(T76*(HLOOKUP(T$7,$D$9:$G76,ROW()-8,0)+W$8),0)+ROUND(V76*W$8,0)</f>
        <v>#N/A</v>
      </c>
      <c r="X76" s="53"/>
      <c r="Y76" s="56"/>
      <c r="Z76" s="56"/>
      <c r="AA76" s="83" t="e">
        <f>ROUND(X76*(HLOOKUP(X$7,$D$9:$G76,ROW()-8,0)+AA$8),0)+ROUND(Z76*AA$8,0)</f>
        <v>#N/A</v>
      </c>
      <c r="AB76" s="53"/>
      <c r="AC76" s="56"/>
      <c r="AD76" s="56"/>
      <c r="AE76" s="83" t="e">
        <f>ROUND(AB76*(HLOOKUP(AB$7,$D$9:$G76,ROW()-8,0)+AE$8),0)+ROUND(AD76*AE$8,0)</f>
        <v>#N/A</v>
      </c>
      <c r="AF76" s="53"/>
      <c r="AG76" s="56"/>
      <c r="AH76" s="56"/>
      <c r="AI76" s="83" t="e">
        <f>ROUND(AF76*(HLOOKUP(AF$7,$D$9:$G76,ROW()-8,0)+AI$8),0)+ROUND(AH76*AI$8,0)</f>
        <v>#N/A</v>
      </c>
      <c r="AJ76" s="53"/>
      <c r="AK76" s="56"/>
      <c r="AL76" s="56"/>
      <c r="AM76" s="83" t="e">
        <f>ROUND(AJ76*(HLOOKUP(AJ$7,$D$9:$G76,ROW()-8,0)+AM$8),0)+ROUND(AL76*AM$8,0)</f>
        <v>#N/A</v>
      </c>
      <c r="AN76" s="53"/>
      <c r="AO76" s="56"/>
      <c r="AP76" s="56"/>
      <c r="AQ76" s="83" t="e">
        <f>ROUND(AN76*(HLOOKUP(AN$7,$D$9:$G76,ROW()-8,0)+AQ$8),0)+ROUND(AP76*AQ$8,0)</f>
        <v>#N/A</v>
      </c>
      <c r="AR76" s="53"/>
      <c r="AS76" s="56"/>
      <c r="AT76" s="56"/>
      <c r="AU76" s="83" t="e">
        <f>ROUND(AR76*(HLOOKUP(AR$7,$D$9:$G76,ROW()-8,0)+AU$8),0)+ROUND(AT76*AU$8,0)</f>
        <v>#N/A</v>
      </c>
      <c r="AV76" s="53"/>
      <c r="AW76" s="56"/>
      <c r="AX76" s="56"/>
      <c r="AY76" s="83" t="e">
        <f>ROUND(AV76*(HLOOKUP(AV$7,$D$9:$G76,ROW()-8,0)+AY$8),0)+ROUND(AX76*AY$8,0)</f>
        <v>#N/A</v>
      </c>
      <c r="AZ76" s="53"/>
      <c r="BA76" s="56"/>
      <c r="BB76" s="56"/>
      <c r="BC76" s="83" t="e">
        <f>ROUND(AZ76*(HLOOKUP(AZ$7,$D$9:$G76,ROW()-8,0)+BC$8),0)+ROUND(BB76*BC$8,0)</f>
        <v>#N/A</v>
      </c>
      <c r="BD76" s="53"/>
      <c r="BE76" s="56"/>
      <c r="BF76" s="56"/>
      <c r="BG76" s="83" t="e">
        <f>ROUND(BD76*(HLOOKUP(BD$7,$D$9:$G76,ROW()-8,0)+BG$8),0)+ROUND(BF76*BG$8,0)</f>
        <v>#N/A</v>
      </c>
      <c r="BH76" s="53"/>
      <c r="BI76" s="56"/>
      <c r="BJ76" s="56"/>
      <c r="BK76" s="83" t="e">
        <f>ROUND(BH76*(HLOOKUP(BH$7,$D$9:$G76,ROW()-8,0)+BK$8),0)+ROUND(BJ76*BK$8,0)</f>
        <v>#N/A</v>
      </c>
      <c r="BL76" s="53"/>
      <c r="BM76" s="56"/>
      <c r="BN76" s="56"/>
      <c r="BO76" s="83" t="e">
        <f>ROUND(BL76*(HLOOKUP(BL$7,$D$9:$G76,ROW()-8,0)+BO$8),0)+ROUND(BN76*BO$8,0)</f>
        <v>#N/A</v>
      </c>
      <c r="BP76" s="53"/>
      <c r="BQ76" s="56"/>
      <c r="BR76" s="56"/>
      <c r="BS76" s="83" t="e">
        <f>ROUND(BP76*(HLOOKUP(BP$7,$D$9:$G76,ROW()-8,0)+BS$8),0)+ROUND(BR76*BS$8,0)</f>
        <v>#N/A</v>
      </c>
      <c r="BT76" s="54">
        <f t="shared" si="4"/>
        <v>0</v>
      </c>
      <c r="BU76" s="54">
        <f t="shared" si="4"/>
        <v>0</v>
      </c>
      <c r="BV76" s="54">
        <f t="shared" si="4"/>
        <v>0</v>
      </c>
      <c r="BW76" s="54">
        <f t="shared" si="4"/>
        <v>0</v>
      </c>
      <c r="BX76" s="63"/>
      <c r="BY76" s="107"/>
      <c r="BZ76" s="57" t="e">
        <f t="shared" si="3"/>
        <v>#DIV/0!</v>
      </c>
    </row>
    <row r="77" spans="3:78" ht="17.25">
      <c r="C77" s="64"/>
      <c r="D77" s="105"/>
      <c r="E77" s="106"/>
      <c r="F77" s="106"/>
      <c r="G77" s="110"/>
      <c r="H77" s="95"/>
      <c r="I77" s="56"/>
      <c r="J77" s="56"/>
      <c r="K77" s="83" t="e">
        <f>ROUND(H77*(HLOOKUP(H$7,$D$9:$G77,ROW()-8,0)+K$8),0)+ROUND(J77*K$8,0)</f>
        <v>#N/A</v>
      </c>
      <c r="L77" s="53"/>
      <c r="M77" s="56"/>
      <c r="N77" s="56"/>
      <c r="O77" s="83" t="e">
        <f>ROUND(L77*(HLOOKUP(L$7,$D$9:$G77,ROW()-8,0)+O$8),0)+ROUND(N77*O$8,0)</f>
        <v>#N/A</v>
      </c>
      <c r="P77" s="53"/>
      <c r="Q77" s="56"/>
      <c r="R77" s="56"/>
      <c r="S77" s="83" t="e">
        <f>ROUND(P77*(HLOOKUP(P$7,$D$9:$G77,ROW()-8,0)+S$8),0)+ROUND(R77*S$8,0)</f>
        <v>#N/A</v>
      </c>
      <c r="T77" s="53"/>
      <c r="U77" s="56"/>
      <c r="V77" s="56"/>
      <c r="W77" s="83" t="e">
        <f>ROUND(T77*(HLOOKUP(T$7,$D$9:$G77,ROW()-8,0)+W$8),0)+ROUND(V77*W$8,0)</f>
        <v>#N/A</v>
      </c>
      <c r="X77" s="53"/>
      <c r="Y77" s="56"/>
      <c r="Z77" s="56"/>
      <c r="AA77" s="83" t="e">
        <f>ROUND(X77*(HLOOKUP(X$7,$D$9:$G77,ROW()-8,0)+AA$8),0)+ROUND(Z77*AA$8,0)</f>
        <v>#N/A</v>
      </c>
      <c r="AB77" s="53"/>
      <c r="AC77" s="56"/>
      <c r="AD77" s="56"/>
      <c r="AE77" s="83" t="e">
        <f>ROUND(AB77*(HLOOKUP(AB$7,$D$9:$G77,ROW()-8,0)+AE$8),0)+ROUND(AD77*AE$8,0)</f>
        <v>#N/A</v>
      </c>
      <c r="AF77" s="53"/>
      <c r="AG77" s="56"/>
      <c r="AH77" s="56"/>
      <c r="AI77" s="83" t="e">
        <f>ROUND(AF77*(HLOOKUP(AF$7,$D$9:$G77,ROW()-8,0)+AI$8),0)+ROUND(AH77*AI$8,0)</f>
        <v>#N/A</v>
      </c>
      <c r="AJ77" s="53"/>
      <c r="AK77" s="56"/>
      <c r="AL77" s="56"/>
      <c r="AM77" s="83" t="e">
        <f>ROUND(AJ77*(HLOOKUP(AJ$7,$D$9:$G77,ROW()-8,0)+AM$8),0)+ROUND(AL77*AM$8,0)</f>
        <v>#N/A</v>
      </c>
      <c r="AN77" s="53"/>
      <c r="AO77" s="56"/>
      <c r="AP77" s="56"/>
      <c r="AQ77" s="83" t="e">
        <f>ROUND(AN77*(HLOOKUP(AN$7,$D$9:$G77,ROW()-8,0)+AQ$8),0)+ROUND(AP77*AQ$8,0)</f>
        <v>#N/A</v>
      </c>
      <c r="AR77" s="53"/>
      <c r="AS77" s="56"/>
      <c r="AT77" s="56"/>
      <c r="AU77" s="83" t="e">
        <f>ROUND(AR77*(HLOOKUP(AR$7,$D$9:$G77,ROW()-8,0)+AU$8),0)+ROUND(AT77*AU$8,0)</f>
        <v>#N/A</v>
      </c>
      <c r="AV77" s="53"/>
      <c r="AW77" s="56"/>
      <c r="AX77" s="56"/>
      <c r="AY77" s="83" t="e">
        <f>ROUND(AV77*(HLOOKUP(AV$7,$D$9:$G77,ROW()-8,0)+AY$8),0)+ROUND(AX77*AY$8,0)</f>
        <v>#N/A</v>
      </c>
      <c r="AZ77" s="53"/>
      <c r="BA77" s="56"/>
      <c r="BB77" s="56"/>
      <c r="BC77" s="83" t="e">
        <f>ROUND(AZ77*(HLOOKUP(AZ$7,$D$9:$G77,ROW()-8,0)+BC$8),0)+ROUND(BB77*BC$8,0)</f>
        <v>#N/A</v>
      </c>
      <c r="BD77" s="53"/>
      <c r="BE77" s="56"/>
      <c r="BF77" s="56"/>
      <c r="BG77" s="83" t="e">
        <f>ROUND(BD77*(HLOOKUP(BD$7,$D$9:$G77,ROW()-8,0)+BG$8),0)+ROUND(BF77*BG$8,0)</f>
        <v>#N/A</v>
      </c>
      <c r="BH77" s="53"/>
      <c r="BI77" s="56"/>
      <c r="BJ77" s="56"/>
      <c r="BK77" s="83" t="e">
        <f>ROUND(BH77*(HLOOKUP(BH$7,$D$9:$G77,ROW()-8,0)+BK$8),0)+ROUND(BJ77*BK$8,0)</f>
        <v>#N/A</v>
      </c>
      <c r="BL77" s="53"/>
      <c r="BM77" s="56"/>
      <c r="BN77" s="56"/>
      <c r="BO77" s="83" t="e">
        <f>ROUND(BL77*(HLOOKUP(BL$7,$D$9:$G77,ROW()-8,0)+BO$8),0)+ROUND(BN77*BO$8,0)</f>
        <v>#N/A</v>
      </c>
      <c r="BP77" s="53"/>
      <c r="BQ77" s="56"/>
      <c r="BR77" s="56"/>
      <c r="BS77" s="83" t="e">
        <f>ROUND(BP77*(HLOOKUP(BP$7,$D$9:$G77,ROW()-8,0)+BS$8),0)+ROUND(BR77*BS$8,0)</f>
        <v>#N/A</v>
      </c>
      <c r="BT77" s="54">
        <f t="shared" si="4"/>
        <v>0</v>
      </c>
      <c r="BU77" s="54">
        <f t="shared" si="4"/>
        <v>0</v>
      </c>
      <c r="BV77" s="54">
        <f t="shared" si="4"/>
        <v>0</v>
      </c>
      <c r="BW77" s="54">
        <f t="shared" si="4"/>
        <v>0</v>
      </c>
      <c r="BX77" s="63"/>
      <c r="BY77" s="107"/>
      <c r="BZ77" s="57" t="e">
        <f t="shared" si="3"/>
        <v>#DIV/0!</v>
      </c>
    </row>
    <row r="78" spans="3:78" ht="17.25">
      <c r="C78" s="64"/>
      <c r="D78" s="105"/>
      <c r="E78" s="106"/>
      <c r="F78" s="106"/>
      <c r="G78" s="110"/>
      <c r="H78" s="95"/>
      <c r="I78" s="56"/>
      <c r="J78" s="56"/>
      <c r="K78" s="83" t="e">
        <f>ROUND(H78*(HLOOKUP(H$7,$D$9:$G78,ROW()-8,0)+K$8),0)+ROUND(J78*K$8,0)</f>
        <v>#N/A</v>
      </c>
      <c r="L78" s="53"/>
      <c r="M78" s="56"/>
      <c r="N78" s="56"/>
      <c r="O78" s="83" t="e">
        <f>ROUND(L78*(HLOOKUP(L$7,$D$9:$G78,ROW()-8,0)+O$8),0)+ROUND(N78*O$8,0)</f>
        <v>#N/A</v>
      </c>
      <c r="P78" s="53"/>
      <c r="Q78" s="56"/>
      <c r="R78" s="56"/>
      <c r="S78" s="83" t="e">
        <f>ROUND(P78*(HLOOKUP(P$7,$D$9:$G78,ROW()-8,0)+S$8),0)+ROUND(R78*S$8,0)</f>
        <v>#N/A</v>
      </c>
      <c r="T78" s="53"/>
      <c r="U78" s="56"/>
      <c r="V78" s="56"/>
      <c r="W78" s="83" t="e">
        <f>ROUND(T78*(HLOOKUP(T$7,$D$9:$G78,ROW()-8,0)+W$8),0)+ROUND(V78*W$8,0)</f>
        <v>#N/A</v>
      </c>
      <c r="X78" s="53"/>
      <c r="Y78" s="56"/>
      <c r="Z78" s="56"/>
      <c r="AA78" s="83" t="e">
        <f>ROUND(X78*(HLOOKUP(X$7,$D$9:$G78,ROW()-8,0)+AA$8),0)+ROUND(Z78*AA$8,0)</f>
        <v>#N/A</v>
      </c>
      <c r="AB78" s="53"/>
      <c r="AC78" s="56"/>
      <c r="AD78" s="56"/>
      <c r="AE78" s="83" t="e">
        <f>ROUND(AB78*(HLOOKUP(AB$7,$D$9:$G78,ROW()-8,0)+AE$8),0)+ROUND(AD78*AE$8,0)</f>
        <v>#N/A</v>
      </c>
      <c r="AF78" s="53"/>
      <c r="AG78" s="56"/>
      <c r="AH78" s="56"/>
      <c r="AI78" s="83" t="e">
        <f>ROUND(AF78*(HLOOKUP(AF$7,$D$9:$G78,ROW()-8,0)+AI$8),0)+ROUND(AH78*AI$8,0)</f>
        <v>#N/A</v>
      </c>
      <c r="AJ78" s="53"/>
      <c r="AK78" s="56"/>
      <c r="AL78" s="56"/>
      <c r="AM78" s="83" t="e">
        <f>ROUND(AJ78*(HLOOKUP(AJ$7,$D$9:$G78,ROW()-8,0)+AM$8),0)+ROUND(AL78*AM$8,0)</f>
        <v>#N/A</v>
      </c>
      <c r="AN78" s="53"/>
      <c r="AO78" s="56"/>
      <c r="AP78" s="56"/>
      <c r="AQ78" s="83" t="e">
        <f>ROUND(AN78*(HLOOKUP(AN$7,$D$9:$G78,ROW()-8,0)+AQ$8),0)+ROUND(AP78*AQ$8,0)</f>
        <v>#N/A</v>
      </c>
      <c r="AR78" s="53"/>
      <c r="AS78" s="56"/>
      <c r="AT78" s="56"/>
      <c r="AU78" s="83" t="e">
        <f>ROUND(AR78*(HLOOKUP(AR$7,$D$9:$G78,ROW()-8,0)+AU$8),0)+ROUND(AT78*AU$8,0)</f>
        <v>#N/A</v>
      </c>
      <c r="AV78" s="53"/>
      <c r="AW78" s="56"/>
      <c r="AX78" s="56"/>
      <c r="AY78" s="83" t="e">
        <f>ROUND(AV78*(HLOOKUP(AV$7,$D$9:$G78,ROW()-8,0)+AY$8),0)+ROUND(AX78*AY$8,0)</f>
        <v>#N/A</v>
      </c>
      <c r="AZ78" s="53"/>
      <c r="BA78" s="56"/>
      <c r="BB78" s="56"/>
      <c r="BC78" s="83" t="e">
        <f>ROUND(AZ78*(HLOOKUP(AZ$7,$D$9:$G78,ROW()-8,0)+BC$8),0)+ROUND(BB78*BC$8,0)</f>
        <v>#N/A</v>
      </c>
      <c r="BD78" s="53"/>
      <c r="BE78" s="56"/>
      <c r="BF78" s="56"/>
      <c r="BG78" s="83" t="e">
        <f>ROUND(BD78*(HLOOKUP(BD$7,$D$9:$G78,ROW()-8,0)+BG$8),0)+ROUND(BF78*BG$8,0)</f>
        <v>#N/A</v>
      </c>
      <c r="BH78" s="53"/>
      <c r="BI78" s="56"/>
      <c r="BJ78" s="56"/>
      <c r="BK78" s="83" t="e">
        <f>ROUND(BH78*(HLOOKUP(BH$7,$D$9:$G78,ROW()-8,0)+BK$8),0)+ROUND(BJ78*BK$8,0)</f>
        <v>#N/A</v>
      </c>
      <c r="BL78" s="53"/>
      <c r="BM78" s="56"/>
      <c r="BN78" s="56"/>
      <c r="BO78" s="83" t="e">
        <f>ROUND(BL78*(HLOOKUP(BL$7,$D$9:$G78,ROW()-8,0)+BO$8),0)+ROUND(BN78*BO$8,0)</f>
        <v>#N/A</v>
      </c>
      <c r="BP78" s="53"/>
      <c r="BQ78" s="56"/>
      <c r="BR78" s="56"/>
      <c r="BS78" s="83" t="e">
        <f>ROUND(BP78*(HLOOKUP(BP$7,$D$9:$G78,ROW()-8,0)+BS$8),0)+ROUND(BR78*BS$8,0)</f>
        <v>#N/A</v>
      </c>
      <c r="BT78" s="54">
        <f t="shared" si="4"/>
        <v>0</v>
      </c>
      <c r="BU78" s="54">
        <f t="shared" si="4"/>
        <v>0</v>
      </c>
      <c r="BV78" s="54">
        <f t="shared" si="4"/>
        <v>0</v>
      </c>
      <c r="BW78" s="54">
        <f t="shared" si="4"/>
        <v>0</v>
      </c>
      <c r="BX78" s="63"/>
      <c r="BY78" s="107"/>
      <c r="BZ78" s="57" t="e">
        <f t="shared" si="3"/>
        <v>#DIV/0!</v>
      </c>
    </row>
    <row r="79" spans="3:78" ht="17.25">
      <c r="C79" s="64"/>
      <c r="D79" s="105"/>
      <c r="E79" s="106"/>
      <c r="F79" s="106"/>
      <c r="G79" s="110"/>
      <c r="H79" s="95"/>
      <c r="I79" s="56"/>
      <c r="J79" s="56"/>
      <c r="K79" s="83" t="e">
        <f>ROUND(H79*(HLOOKUP(H$7,$D$9:$G79,ROW()-8,0)+K$8),0)+ROUND(J79*K$8,0)</f>
        <v>#N/A</v>
      </c>
      <c r="L79" s="53"/>
      <c r="M79" s="56"/>
      <c r="N79" s="56"/>
      <c r="O79" s="83" t="e">
        <f>ROUND(L79*(HLOOKUP(L$7,$D$9:$G79,ROW()-8,0)+O$8),0)+ROUND(N79*O$8,0)</f>
        <v>#N/A</v>
      </c>
      <c r="P79" s="53"/>
      <c r="Q79" s="56"/>
      <c r="R79" s="56"/>
      <c r="S79" s="83" t="e">
        <f>ROUND(P79*(HLOOKUP(P$7,$D$9:$G79,ROW()-8,0)+S$8),0)+ROUND(R79*S$8,0)</f>
        <v>#N/A</v>
      </c>
      <c r="T79" s="53"/>
      <c r="U79" s="56"/>
      <c r="V79" s="56"/>
      <c r="W79" s="83" t="e">
        <f>ROUND(T79*(HLOOKUP(T$7,$D$9:$G79,ROW()-8,0)+W$8),0)+ROUND(V79*W$8,0)</f>
        <v>#N/A</v>
      </c>
      <c r="X79" s="53"/>
      <c r="Y79" s="56"/>
      <c r="Z79" s="56"/>
      <c r="AA79" s="83" t="e">
        <f>ROUND(X79*(HLOOKUP(X$7,$D$9:$G79,ROW()-8,0)+AA$8),0)+ROUND(Z79*AA$8,0)</f>
        <v>#N/A</v>
      </c>
      <c r="AB79" s="53"/>
      <c r="AC79" s="56"/>
      <c r="AD79" s="56"/>
      <c r="AE79" s="83" t="e">
        <f>ROUND(AB79*(HLOOKUP(AB$7,$D$9:$G79,ROW()-8,0)+AE$8),0)+ROUND(AD79*AE$8,0)</f>
        <v>#N/A</v>
      </c>
      <c r="AF79" s="53"/>
      <c r="AG79" s="56"/>
      <c r="AH79" s="56"/>
      <c r="AI79" s="83" t="e">
        <f>ROUND(AF79*(HLOOKUP(AF$7,$D$9:$G79,ROW()-8,0)+AI$8),0)+ROUND(AH79*AI$8,0)</f>
        <v>#N/A</v>
      </c>
      <c r="AJ79" s="53"/>
      <c r="AK79" s="56"/>
      <c r="AL79" s="56"/>
      <c r="AM79" s="83" t="e">
        <f>ROUND(AJ79*(HLOOKUP(AJ$7,$D$9:$G79,ROW()-8,0)+AM$8),0)+ROUND(AL79*AM$8,0)</f>
        <v>#N/A</v>
      </c>
      <c r="AN79" s="53"/>
      <c r="AO79" s="56"/>
      <c r="AP79" s="56"/>
      <c r="AQ79" s="83" t="e">
        <f>ROUND(AN79*(HLOOKUP(AN$7,$D$9:$G79,ROW()-8,0)+AQ$8),0)+ROUND(AP79*AQ$8,0)</f>
        <v>#N/A</v>
      </c>
      <c r="AR79" s="53"/>
      <c r="AS79" s="56"/>
      <c r="AT79" s="56"/>
      <c r="AU79" s="83" t="e">
        <f>ROUND(AR79*(HLOOKUP(AR$7,$D$9:$G79,ROW()-8,0)+AU$8),0)+ROUND(AT79*AU$8,0)</f>
        <v>#N/A</v>
      </c>
      <c r="AV79" s="53"/>
      <c r="AW79" s="56"/>
      <c r="AX79" s="56"/>
      <c r="AY79" s="83" t="e">
        <f>ROUND(AV79*(HLOOKUP(AV$7,$D$9:$G79,ROW()-8,0)+AY$8),0)+ROUND(AX79*AY$8,0)</f>
        <v>#N/A</v>
      </c>
      <c r="AZ79" s="53"/>
      <c r="BA79" s="56"/>
      <c r="BB79" s="56"/>
      <c r="BC79" s="83" t="e">
        <f>ROUND(AZ79*(HLOOKUP(AZ$7,$D$9:$G79,ROW()-8,0)+BC$8),0)+ROUND(BB79*BC$8,0)</f>
        <v>#N/A</v>
      </c>
      <c r="BD79" s="53"/>
      <c r="BE79" s="56"/>
      <c r="BF79" s="56"/>
      <c r="BG79" s="83" t="e">
        <f>ROUND(BD79*(HLOOKUP(BD$7,$D$9:$G79,ROW()-8,0)+BG$8),0)+ROUND(BF79*BG$8,0)</f>
        <v>#N/A</v>
      </c>
      <c r="BH79" s="53"/>
      <c r="BI79" s="56"/>
      <c r="BJ79" s="56"/>
      <c r="BK79" s="83" t="e">
        <f>ROUND(BH79*(HLOOKUP(BH$7,$D$9:$G79,ROW()-8,0)+BK$8),0)+ROUND(BJ79*BK$8,0)</f>
        <v>#N/A</v>
      </c>
      <c r="BL79" s="53"/>
      <c r="BM79" s="56"/>
      <c r="BN79" s="56"/>
      <c r="BO79" s="83" t="e">
        <f>ROUND(BL79*(HLOOKUP(BL$7,$D$9:$G79,ROW()-8,0)+BO$8),0)+ROUND(BN79*BO$8,0)</f>
        <v>#N/A</v>
      </c>
      <c r="BP79" s="53"/>
      <c r="BQ79" s="56"/>
      <c r="BR79" s="56"/>
      <c r="BS79" s="83" t="e">
        <f>ROUND(BP79*(HLOOKUP(BP$7,$D$9:$G79,ROW()-8,0)+BS$8),0)+ROUND(BR79*BS$8,0)</f>
        <v>#N/A</v>
      </c>
      <c r="BT79" s="54">
        <f t="shared" si="4"/>
        <v>0</v>
      </c>
      <c r="BU79" s="54">
        <f t="shared" si="4"/>
        <v>0</v>
      </c>
      <c r="BV79" s="54">
        <f t="shared" si="4"/>
        <v>0</v>
      </c>
      <c r="BW79" s="54">
        <f t="shared" si="4"/>
        <v>0</v>
      </c>
      <c r="BX79" s="63"/>
      <c r="BY79" s="107"/>
      <c r="BZ79" s="57" t="e">
        <f t="shared" si="3"/>
        <v>#DIV/0!</v>
      </c>
    </row>
    <row r="80" spans="3:78" ht="17.25">
      <c r="C80" s="64"/>
      <c r="D80" s="105"/>
      <c r="E80" s="106"/>
      <c r="F80" s="106"/>
      <c r="G80" s="110"/>
      <c r="H80" s="95"/>
      <c r="I80" s="56"/>
      <c r="J80" s="56"/>
      <c r="K80" s="83" t="e">
        <f>ROUND(H80*(HLOOKUP(H$7,$D$9:$G80,ROW()-8,0)+K$8),0)+ROUND(J80*K$8,0)</f>
        <v>#N/A</v>
      </c>
      <c r="L80" s="53"/>
      <c r="M80" s="56"/>
      <c r="N80" s="56"/>
      <c r="O80" s="83" t="e">
        <f>ROUND(L80*(HLOOKUP(L$7,$D$9:$G80,ROW()-8,0)+O$8),0)+ROUND(N80*O$8,0)</f>
        <v>#N/A</v>
      </c>
      <c r="P80" s="53"/>
      <c r="Q80" s="56"/>
      <c r="R80" s="56"/>
      <c r="S80" s="83" t="e">
        <f>ROUND(P80*(HLOOKUP(P$7,$D$9:$G80,ROW()-8,0)+S$8),0)+ROUND(R80*S$8,0)</f>
        <v>#N/A</v>
      </c>
      <c r="T80" s="53"/>
      <c r="U80" s="56"/>
      <c r="V80" s="56"/>
      <c r="W80" s="83" t="e">
        <f>ROUND(T80*(HLOOKUP(T$7,$D$9:$G80,ROW()-8,0)+W$8),0)+ROUND(V80*W$8,0)</f>
        <v>#N/A</v>
      </c>
      <c r="X80" s="53"/>
      <c r="Y80" s="56"/>
      <c r="Z80" s="56"/>
      <c r="AA80" s="83" t="e">
        <f>ROUND(X80*(HLOOKUP(X$7,$D$9:$G80,ROW()-8,0)+AA$8),0)+ROUND(Z80*AA$8,0)</f>
        <v>#N/A</v>
      </c>
      <c r="AB80" s="53"/>
      <c r="AC80" s="56"/>
      <c r="AD80" s="56"/>
      <c r="AE80" s="83" t="e">
        <f>ROUND(AB80*(HLOOKUP(AB$7,$D$9:$G80,ROW()-8,0)+AE$8),0)+ROUND(AD80*AE$8,0)</f>
        <v>#N/A</v>
      </c>
      <c r="AF80" s="53"/>
      <c r="AG80" s="56"/>
      <c r="AH80" s="56"/>
      <c r="AI80" s="83" t="e">
        <f>ROUND(AF80*(HLOOKUP(AF$7,$D$9:$G80,ROW()-8,0)+AI$8),0)+ROUND(AH80*AI$8,0)</f>
        <v>#N/A</v>
      </c>
      <c r="AJ80" s="53"/>
      <c r="AK80" s="56"/>
      <c r="AL80" s="56"/>
      <c r="AM80" s="83" t="e">
        <f>ROUND(AJ80*(HLOOKUP(AJ$7,$D$9:$G80,ROW()-8,0)+AM$8),0)+ROUND(AL80*AM$8,0)</f>
        <v>#N/A</v>
      </c>
      <c r="AN80" s="53"/>
      <c r="AO80" s="56"/>
      <c r="AP80" s="56"/>
      <c r="AQ80" s="83" t="e">
        <f>ROUND(AN80*(HLOOKUP(AN$7,$D$9:$G80,ROW()-8,0)+AQ$8),0)+ROUND(AP80*AQ$8,0)</f>
        <v>#N/A</v>
      </c>
      <c r="AR80" s="53"/>
      <c r="AS80" s="56"/>
      <c r="AT80" s="56"/>
      <c r="AU80" s="83" t="e">
        <f>ROUND(AR80*(HLOOKUP(AR$7,$D$9:$G80,ROW()-8,0)+AU$8),0)+ROUND(AT80*AU$8,0)</f>
        <v>#N/A</v>
      </c>
      <c r="AV80" s="53"/>
      <c r="AW80" s="56"/>
      <c r="AX80" s="56"/>
      <c r="AY80" s="83" t="e">
        <f>ROUND(AV80*(HLOOKUP(AV$7,$D$9:$G80,ROW()-8,0)+AY$8),0)+ROUND(AX80*AY$8,0)</f>
        <v>#N/A</v>
      </c>
      <c r="AZ80" s="53"/>
      <c r="BA80" s="56"/>
      <c r="BB80" s="56"/>
      <c r="BC80" s="83" t="e">
        <f>ROUND(AZ80*(HLOOKUP(AZ$7,$D$9:$G80,ROW()-8,0)+BC$8),0)+ROUND(BB80*BC$8,0)</f>
        <v>#N/A</v>
      </c>
      <c r="BD80" s="53"/>
      <c r="BE80" s="56"/>
      <c r="BF80" s="56"/>
      <c r="BG80" s="83" t="e">
        <f>ROUND(BD80*(HLOOKUP(BD$7,$D$9:$G80,ROW()-8,0)+BG$8),0)+ROUND(BF80*BG$8,0)</f>
        <v>#N/A</v>
      </c>
      <c r="BH80" s="53"/>
      <c r="BI80" s="56"/>
      <c r="BJ80" s="56"/>
      <c r="BK80" s="83" t="e">
        <f>ROUND(BH80*(HLOOKUP(BH$7,$D$9:$G80,ROW()-8,0)+BK$8),0)+ROUND(BJ80*BK$8,0)</f>
        <v>#N/A</v>
      </c>
      <c r="BL80" s="53"/>
      <c r="BM80" s="56"/>
      <c r="BN80" s="56"/>
      <c r="BO80" s="83" t="e">
        <f>ROUND(BL80*(HLOOKUP(BL$7,$D$9:$G80,ROW()-8,0)+BO$8),0)+ROUND(BN80*BO$8,0)</f>
        <v>#N/A</v>
      </c>
      <c r="BP80" s="53"/>
      <c r="BQ80" s="56"/>
      <c r="BR80" s="56"/>
      <c r="BS80" s="83" t="e">
        <f>ROUND(BP80*(HLOOKUP(BP$7,$D$9:$G80,ROW()-8,0)+BS$8),0)+ROUND(BR80*BS$8,0)</f>
        <v>#N/A</v>
      </c>
      <c r="BT80" s="54">
        <f t="shared" si="4"/>
        <v>0</v>
      </c>
      <c r="BU80" s="54">
        <f t="shared" si="4"/>
        <v>0</v>
      </c>
      <c r="BV80" s="54">
        <f t="shared" si="4"/>
        <v>0</v>
      </c>
      <c r="BW80" s="54">
        <f t="shared" si="4"/>
        <v>0</v>
      </c>
      <c r="BX80" s="63"/>
      <c r="BY80" s="107"/>
      <c r="BZ80" s="57" t="e">
        <f t="shared" si="3"/>
        <v>#DIV/0!</v>
      </c>
    </row>
    <row r="81" spans="3:78" ht="17.25">
      <c r="C81" s="64"/>
      <c r="D81" s="105"/>
      <c r="E81" s="106"/>
      <c r="F81" s="106"/>
      <c r="G81" s="110"/>
      <c r="H81" s="95"/>
      <c r="I81" s="56"/>
      <c r="J81" s="56"/>
      <c r="K81" s="83" t="e">
        <f>ROUND(H81*(HLOOKUP(H$7,$D$9:$G81,ROW()-8,0)+K$8),0)+ROUND(J81*K$8,0)</f>
        <v>#N/A</v>
      </c>
      <c r="L81" s="53"/>
      <c r="M81" s="56"/>
      <c r="N81" s="56"/>
      <c r="O81" s="83" t="e">
        <f>ROUND(L81*(HLOOKUP(L$7,$D$9:$G81,ROW()-8,0)+O$8),0)+ROUND(N81*O$8,0)</f>
        <v>#N/A</v>
      </c>
      <c r="P81" s="53"/>
      <c r="Q81" s="56"/>
      <c r="R81" s="56"/>
      <c r="S81" s="83" t="e">
        <f>ROUND(P81*(HLOOKUP(P$7,$D$9:$G81,ROW()-8,0)+S$8),0)+ROUND(R81*S$8,0)</f>
        <v>#N/A</v>
      </c>
      <c r="T81" s="53"/>
      <c r="U81" s="56"/>
      <c r="V81" s="56"/>
      <c r="W81" s="83" t="e">
        <f>ROUND(T81*(HLOOKUP(T$7,$D$9:$G81,ROW()-8,0)+W$8),0)+ROUND(V81*W$8,0)</f>
        <v>#N/A</v>
      </c>
      <c r="X81" s="53"/>
      <c r="Y81" s="56"/>
      <c r="Z81" s="56"/>
      <c r="AA81" s="83" t="e">
        <f>ROUND(X81*(HLOOKUP(X$7,$D$9:$G81,ROW()-8,0)+AA$8),0)+ROUND(Z81*AA$8,0)</f>
        <v>#N/A</v>
      </c>
      <c r="AB81" s="53"/>
      <c r="AC81" s="56"/>
      <c r="AD81" s="56"/>
      <c r="AE81" s="83" t="e">
        <f>ROUND(AB81*(HLOOKUP(AB$7,$D$9:$G81,ROW()-8,0)+AE$8),0)+ROUND(AD81*AE$8,0)</f>
        <v>#N/A</v>
      </c>
      <c r="AF81" s="53"/>
      <c r="AG81" s="56"/>
      <c r="AH81" s="56"/>
      <c r="AI81" s="83" t="e">
        <f>ROUND(AF81*(HLOOKUP(AF$7,$D$9:$G81,ROW()-8,0)+AI$8),0)+ROUND(AH81*AI$8,0)</f>
        <v>#N/A</v>
      </c>
      <c r="AJ81" s="53"/>
      <c r="AK81" s="56"/>
      <c r="AL81" s="56"/>
      <c r="AM81" s="83" t="e">
        <f>ROUND(AJ81*(HLOOKUP(AJ$7,$D$9:$G81,ROW()-8,0)+AM$8),0)+ROUND(AL81*AM$8,0)</f>
        <v>#N/A</v>
      </c>
      <c r="AN81" s="53"/>
      <c r="AO81" s="56"/>
      <c r="AP81" s="56"/>
      <c r="AQ81" s="83" t="e">
        <f>ROUND(AN81*(HLOOKUP(AN$7,$D$9:$G81,ROW()-8,0)+AQ$8),0)+ROUND(AP81*AQ$8,0)</f>
        <v>#N/A</v>
      </c>
      <c r="AR81" s="53"/>
      <c r="AS81" s="56"/>
      <c r="AT81" s="56"/>
      <c r="AU81" s="83" t="e">
        <f>ROUND(AR81*(HLOOKUP(AR$7,$D$9:$G81,ROW()-8,0)+AU$8),0)+ROUND(AT81*AU$8,0)</f>
        <v>#N/A</v>
      </c>
      <c r="AV81" s="53"/>
      <c r="AW81" s="56"/>
      <c r="AX81" s="56"/>
      <c r="AY81" s="83" t="e">
        <f>ROUND(AV81*(HLOOKUP(AV$7,$D$9:$G81,ROW()-8,0)+AY$8),0)+ROUND(AX81*AY$8,0)</f>
        <v>#N/A</v>
      </c>
      <c r="AZ81" s="53"/>
      <c r="BA81" s="56"/>
      <c r="BB81" s="56"/>
      <c r="BC81" s="83" t="e">
        <f>ROUND(AZ81*(HLOOKUP(AZ$7,$D$9:$G81,ROW()-8,0)+BC$8),0)+ROUND(BB81*BC$8,0)</f>
        <v>#N/A</v>
      </c>
      <c r="BD81" s="53"/>
      <c r="BE81" s="56"/>
      <c r="BF81" s="56"/>
      <c r="BG81" s="83" t="e">
        <f>ROUND(BD81*(HLOOKUP(BD$7,$D$9:$G81,ROW()-8,0)+BG$8),0)+ROUND(BF81*BG$8,0)</f>
        <v>#N/A</v>
      </c>
      <c r="BH81" s="53"/>
      <c r="BI81" s="56"/>
      <c r="BJ81" s="56"/>
      <c r="BK81" s="83" t="e">
        <f>ROUND(BH81*(HLOOKUP(BH$7,$D$9:$G81,ROW()-8,0)+BK$8),0)+ROUND(BJ81*BK$8,0)</f>
        <v>#N/A</v>
      </c>
      <c r="BL81" s="53"/>
      <c r="BM81" s="56"/>
      <c r="BN81" s="56"/>
      <c r="BO81" s="83" t="e">
        <f>ROUND(BL81*(HLOOKUP(BL$7,$D$9:$G81,ROW()-8,0)+BO$8),0)+ROUND(BN81*BO$8,0)</f>
        <v>#N/A</v>
      </c>
      <c r="BP81" s="53"/>
      <c r="BQ81" s="56"/>
      <c r="BR81" s="56"/>
      <c r="BS81" s="83" t="e">
        <f>ROUND(BP81*(HLOOKUP(BP$7,$D$9:$G81,ROW()-8,0)+BS$8),0)+ROUND(BR81*BS$8,0)</f>
        <v>#N/A</v>
      </c>
      <c r="BT81" s="54">
        <f t="shared" si="4"/>
        <v>0</v>
      </c>
      <c r="BU81" s="54">
        <f t="shared" si="4"/>
        <v>0</v>
      </c>
      <c r="BV81" s="54">
        <f t="shared" si="4"/>
        <v>0</v>
      </c>
      <c r="BW81" s="54">
        <f t="shared" si="4"/>
        <v>0</v>
      </c>
      <c r="BX81" s="63"/>
      <c r="BY81" s="107"/>
      <c r="BZ81" s="57" t="e">
        <f t="shared" si="3"/>
        <v>#DIV/0!</v>
      </c>
    </row>
    <row r="82" spans="3:78" ht="17.25">
      <c r="C82" s="64"/>
      <c r="D82" s="105"/>
      <c r="E82" s="106"/>
      <c r="F82" s="106"/>
      <c r="G82" s="110"/>
      <c r="H82" s="95"/>
      <c r="I82" s="56"/>
      <c r="J82" s="56"/>
      <c r="K82" s="83" t="e">
        <f>ROUND(H82*(HLOOKUP(H$7,$D$9:$G82,ROW()-8,0)+K$8),0)+ROUND(J82*K$8,0)</f>
        <v>#N/A</v>
      </c>
      <c r="L82" s="53"/>
      <c r="M82" s="56"/>
      <c r="N82" s="56"/>
      <c r="O82" s="83" t="e">
        <f>ROUND(L82*(HLOOKUP(L$7,$D$9:$G82,ROW()-8,0)+O$8),0)+ROUND(N82*O$8,0)</f>
        <v>#N/A</v>
      </c>
      <c r="P82" s="53"/>
      <c r="Q82" s="56"/>
      <c r="R82" s="56"/>
      <c r="S82" s="83" t="e">
        <f>ROUND(P82*(HLOOKUP(P$7,$D$9:$G82,ROW()-8,0)+S$8),0)+ROUND(R82*S$8,0)</f>
        <v>#N/A</v>
      </c>
      <c r="T82" s="53"/>
      <c r="U82" s="56"/>
      <c r="V82" s="56"/>
      <c r="W82" s="83" t="e">
        <f>ROUND(T82*(HLOOKUP(T$7,$D$9:$G82,ROW()-8,0)+W$8),0)+ROUND(V82*W$8,0)</f>
        <v>#N/A</v>
      </c>
      <c r="X82" s="53"/>
      <c r="Y82" s="56"/>
      <c r="Z82" s="56"/>
      <c r="AA82" s="83" t="e">
        <f>ROUND(X82*(HLOOKUP(X$7,$D$9:$G82,ROW()-8,0)+AA$8),0)+ROUND(Z82*AA$8,0)</f>
        <v>#N/A</v>
      </c>
      <c r="AB82" s="53"/>
      <c r="AC82" s="56"/>
      <c r="AD82" s="56"/>
      <c r="AE82" s="83" t="e">
        <f>ROUND(AB82*(HLOOKUP(AB$7,$D$9:$G82,ROW()-8,0)+AE$8),0)+ROUND(AD82*AE$8,0)</f>
        <v>#N/A</v>
      </c>
      <c r="AF82" s="53"/>
      <c r="AG82" s="56"/>
      <c r="AH82" s="56"/>
      <c r="AI82" s="83" t="e">
        <f>ROUND(AF82*(HLOOKUP(AF$7,$D$9:$G82,ROW()-8,0)+AI$8),0)+ROUND(AH82*AI$8,0)</f>
        <v>#N/A</v>
      </c>
      <c r="AJ82" s="53"/>
      <c r="AK82" s="56"/>
      <c r="AL82" s="56"/>
      <c r="AM82" s="83" t="e">
        <f>ROUND(AJ82*(HLOOKUP(AJ$7,$D$9:$G82,ROW()-8,0)+AM$8),0)+ROUND(AL82*AM$8,0)</f>
        <v>#N/A</v>
      </c>
      <c r="AN82" s="53"/>
      <c r="AO82" s="56"/>
      <c r="AP82" s="56"/>
      <c r="AQ82" s="83" t="e">
        <f>ROUND(AN82*(HLOOKUP(AN$7,$D$9:$G82,ROW()-8,0)+AQ$8),0)+ROUND(AP82*AQ$8,0)</f>
        <v>#N/A</v>
      </c>
      <c r="AR82" s="53"/>
      <c r="AS82" s="56"/>
      <c r="AT82" s="56"/>
      <c r="AU82" s="83" t="e">
        <f>ROUND(AR82*(HLOOKUP(AR$7,$D$9:$G82,ROW()-8,0)+AU$8),0)+ROUND(AT82*AU$8,0)</f>
        <v>#N/A</v>
      </c>
      <c r="AV82" s="53"/>
      <c r="AW82" s="56"/>
      <c r="AX82" s="56"/>
      <c r="AY82" s="83" t="e">
        <f>ROUND(AV82*(HLOOKUP(AV$7,$D$9:$G82,ROW()-8,0)+AY$8),0)+ROUND(AX82*AY$8,0)</f>
        <v>#N/A</v>
      </c>
      <c r="AZ82" s="53"/>
      <c r="BA82" s="56"/>
      <c r="BB82" s="56"/>
      <c r="BC82" s="83" t="e">
        <f>ROUND(AZ82*(HLOOKUP(AZ$7,$D$9:$G82,ROW()-8,0)+BC$8),0)+ROUND(BB82*BC$8,0)</f>
        <v>#N/A</v>
      </c>
      <c r="BD82" s="53"/>
      <c r="BE82" s="56"/>
      <c r="BF82" s="56"/>
      <c r="BG82" s="83" t="e">
        <f>ROUND(BD82*(HLOOKUP(BD$7,$D$9:$G82,ROW()-8,0)+BG$8),0)+ROUND(BF82*BG$8,0)</f>
        <v>#N/A</v>
      </c>
      <c r="BH82" s="53"/>
      <c r="BI82" s="56"/>
      <c r="BJ82" s="56"/>
      <c r="BK82" s="83" t="e">
        <f>ROUND(BH82*(HLOOKUP(BH$7,$D$9:$G82,ROW()-8,0)+BK$8),0)+ROUND(BJ82*BK$8,0)</f>
        <v>#N/A</v>
      </c>
      <c r="BL82" s="53"/>
      <c r="BM82" s="56"/>
      <c r="BN82" s="56"/>
      <c r="BO82" s="83" t="e">
        <f>ROUND(BL82*(HLOOKUP(BL$7,$D$9:$G82,ROW()-8,0)+BO$8),0)+ROUND(BN82*BO$8,0)</f>
        <v>#N/A</v>
      </c>
      <c r="BP82" s="53"/>
      <c r="BQ82" s="56"/>
      <c r="BR82" s="56"/>
      <c r="BS82" s="83" t="e">
        <f>ROUND(BP82*(HLOOKUP(BP$7,$D$9:$G82,ROW()-8,0)+BS$8),0)+ROUND(BR82*BS$8,0)</f>
        <v>#N/A</v>
      </c>
      <c r="BT82" s="54">
        <f t="shared" si="4"/>
        <v>0</v>
      </c>
      <c r="BU82" s="54">
        <f t="shared" si="4"/>
        <v>0</v>
      </c>
      <c r="BV82" s="54">
        <f t="shared" si="4"/>
        <v>0</v>
      </c>
      <c r="BW82" s="54">
        <f t="shared" si="4"/>
        <v>0</v>
      </c>
      <c r="BX82" s="63"/>
      <c r="BY82" s="107"/>
      <c r="BZ82" s="57" t="e">
        <f t="shared" si="3"/>
        <v>#DIV/0!</v>
      </c>
    </row>
    <row r="83" spans="3:78" ht="17.25">
      <c r="C83" s="64"/>
      <c r="D83" s="105"/>
      <c r="E83" s="106"/>
      <c r="F83" s="106"/>
      <c r="G83" s="110"/>
      <c r="H83" s="95"/>
      <c r="I83" s="56"/>
      <c r="J83" s="56"/>
      <c r="K83" s="83" t="e">
        <f>ROUND(H83*(HLOOKUP(H$7,$D$9:$G83,ROW()-8,0)+K$8),0)+ROUND(J83*K$8,0)</f>
        <v>#N/A</v>
      </c>
      <c r="L83" s="53"/>
      <c r="M83" s="56"/>
      <c r="N83" s="56"/>
      <c r="O83" s="83" t="e">
        <f>ROUND(L83*(HLOOKUP(L$7,$D$9:$G83,ROW()-8,0)+O$8),0)+ROUND(N83*O$8,0)</f>
        <v>#N/A</v>
      </c>
      <c r="P83" s="53"/>
      <c r="Q83" s="56"/>
      <c r="R83" s="56"/>
      <c r="S83" s="83" t="e">
        <f>ROUND(P83*(HLOOKUP(P$7,$D$9:$G83,ROW()-8,0)+S$8),0)+ROUND(R83*S$8,0)</f>
        <v>#N/A</v>
      </c>
      <c r="T83" s="53"/>
      <c r="U83" s="56"/>
      <c r="V83" s="56"/>
      <c r="W83" s="83" t="e">
        <f>ROUND(T83*(HLOOKUP(T$7,$D$9:$G83,ROW()-8,0)+W$8),0)+ROUND(V83*W$8,0)</f>
        <v>#N/A</v>
      </c>
      <c r="X83" s="53"/>
      <c r="Y83" s="56"/>
      <c r="Z83" s="56"/>
      <c r="AA83" s="83" t="e">
        <f>ROUND(X83*(HLOOKUP(X$7,$D$9:$G83,ROW()-8,0)+AA$8),0)+ROUND(Z83*AA$8,0)</f>
        <v>#N/A</v>
      </c>
      <c r="AB83" s="53"/>
      <c r="AC83" s="56"/>
      <c r="AD83" s="56"/>
      <c r="AE83" s="83" t="e">
        <f>ROUND(AB83*(HLOOKUP(AB$7,$D$9:$G83,ROW()-8,0)+AE$8),0)+ROUND(AD83*AE$8,0)</f>
        <v>#N/A</v>
      </c>
      <c r="AF83" s="53"/>
      <c r="AG83" s="56"/>
      <c r="AH83" s="56"/>
      <c r="AI83" s="83" t="e">
        <f>ROUND(AF83*(HLOOKUP(AF$7,$D$9:$G83,ROW()-8,0)+AI$8),0)+ROUND(AH83*AI$8,0)</f>
        <v>#N/A</v>
      </c>
      <c r="AJ83" s="53"/>
      <c r="AK83" s="56"/>
      <c r="AL83" s="56"/>
      <c r="AM83" s="83" t="e">
        <f>ROUND(AJ83*(HLOOKUP(AJ$7,$D$9:$G83,ROW()-8,0)+AM$8),0)+ROUND(AL83*AM$8,0)</f>
        <v>#N/A</v>
      </c>
      <c r="AN83" s="53"/>
      <c r="AO83" s="56"/>
      <c r="AP83" s="56"/>
      <c r="AQ83" s="83" t="e">
        <f>ROUND(AN83*(HLOOKUP(AN$7,$D$9:$G83,ROW()-8,0)+AQ$8),0)+ROUND(AP83*AQ$8,0)</f>
        <v>#N/A</v>
      </c>
      <c r="AR83" s="53"/>
      <c r="AS83" s="56"/>
      <c r="AT83" s="56"/>
      <c r="AU83" s="83" t="e">
        <f>ROUND(AR83*(HLOOKUP(AR$7,$D$9:$G83,ROW()-8,0)+AU$8),0)+ROUND(AT83*AU$8,0)</f>
        <v>#N/A</v>
      </c>
      <c r="AV83" s="53"/>
      <c r="AW83" s="56"/>
      <c r="AX83" s="56"/>
      <c r="AY83" s="83" t="e">
        <f>ROUND(AV83*(HLOOKUP(AV$7,$D$9:$G83,ROW()-8,0)+AY$8),0)+ROUND(AX83*AY$8,0)</f>
        <v>#N/A</v>
      </c>
      <c r="AZ83" s="53"/>
      <c r="BA83" s="56"/>
      <c r="BB83" s="56"/>
      <c r="BC83" s="83" t="e">
        <f>ROUND(AZ83*(HLOOKUP(AZ$7,$D$9:$G83,ROW()-8,0)+BC$8),0)+ROUND(BB83*BC$8,0)</f>
        <v>#N/A</v>
      </c>
      <c r="BD83" s="53"/>
      <c r="BE83" s="56"/>
      <c r="BF83" s="56"/>
      <c r="BG83" s="83" t="e">
        <f>ROUND(BD83*(HLOOKUP(BD$7,$D$9:$G83,ROW()-8,0)+BG$8),0)+ROUND(BF83*BG$8,0)</f>
        <v>#N/A</v>
      </c>
      <c r="BH83" s="53"/>
      <c r="BI83" s="56"/>
      <c r="BJ83" s="56"/>
      <c r="BK83" s="83" t="e">
        <f>ROUND(BH83*(HLOOKUP(BH$7,$D$9:$G83,ROW()-8,0)+BK$8),0)+ROUND(BJ83*BK$8,0)</f>
        <v>#N/A</v>
      </c>
      <c r="BL83" s="53"/>
      <c r="BM83" s="56"/>
      <c r="BN83" s="56"/>
      <c r="BO83" s="83" t="e">
        <f>ROUND(BL83*(HLOOKUP(BL$7,$D$9:$G83,ROW()-8,0)+BO$8),0)+ROUND(BN83*BO$8,0)</f>
        <v>#N/A</v>
      </c>
      <c r="BP83" s="53"/>
      <c r="BQ83" s="56"/>
      <c r="BR83" s="56"/>
      <c r="BS83" s="83" t="e">
        <f>ROUND(BP83*(HLOOKUP(BP$7,$D$9:$G83,ROW()-8,0)+BS$8),0)+ROUND(BR83*BS$8,0)</f>
        <v>#N/A</v>
      </c>
      <c r="BT83" s="54">
        <f t="shared" si="4"/>
        <v>0</v>
      </c>
      <c r="BU83" s="54">
        <f t="shared" si="4"/>
        <v>0</v>
      </c>
      <c r="BV83" s="54">
        <f t="shared" si="4"/>
        <v>0</v>
      </c>
      <c r="BW83" s="54">
        <f t="shared" si="4"/>
        <v>0</v>
      </c>
      <c r="BX83" s="63"/>
      <c r="BY83" s="107"/>
      <c r="BZ83" s="57" t="e">
        <f t="shared" si="3"/>
        <v>#DIV/0!</v>
      </c>
    </row>
    <row r="84" spans="3:78" ht="17.25">
      <c r="C84" s="64"/>
      <c r="D84" s="105"/>
      <c r="E84" s="106"/>
      <c r="F84" s="106"/>
      <c r="G84" s="110"/>
      <c r="H84" s="95"/>
      <c r="I84" s="56"/>
      <c r="J84" s="56"/>
      <c r="K84" s="83" t="e">
        <f>ROUND(H84*(HLOOKUP(H$7,$D$9:$G84,ROW()-8,0)+K$8),0)+ROUND(J84*K$8,0)</f>
        <v>#N/A</v>
      </c>
      <c r="L84" s="53"/>
      <c r="M84" s="56"/>
      <c r="N84" s="56"/>
      <c r="O84" s="83" t="e">
        <f>ROUND(L84*(HLOOKUP(L$7,$D$9:$G84,ROW()-8,0)+O$8),0)+ROUND(N84*O$8,0)</f>
        <v>#N/A</v>
      </c>
      <c r="P84" s="53"/>
      <c r="Q84" s="56"/>
      <c r="R84" s="56"/>
      <c r="S84" s="83" t="e">
        <f>ROUND(P84*(HLOOKUP(P$7,$D$9:$G84,ROW()-8,0)+S$8),0)+ROUND(R84*S$8,0)</f>
        <v>#N/A</v>
      </c>
      <c r="T84" s="53"/>
      <c r="U84" s="56"/>
      <c r="V84" s="56"/>
      <c r="W84" s="83" t="e">
        <f>ROUND(T84*(HLOOKUP(T$7,$D$9:$G84,ROW()-8,0)+W$8),0)+ROUND(V84*W$8,0)</f>
        <v>#N/A</v>
      </c>
      <c r="X84" s="53"/>
      <c r="Y84" s="56"/>
      <c r="Z84" s="56"/>
      <c r="AA84" s="83" t="e">
        <f>ROUND(X84*(HLOOKUP(X$7,$D$9:$G84,ROW()-8,0)+AA$8),0)+ROUND(Z84*AA$8,0)</f>
        <v>#N/A</v>
      </c>
      <c r="AB84" s="53"/>
      <c r="AC84" s="56"/>
      <c r="AD84" s="56"/>
      <c r="AE84" s="83" t="e">
        <f>ROUND(AB84*(HLOOKUP(AB$7,$D$9:$G84,ROW()-8,0)+AE$8),0)+ROUND(AD84*AE$8,0)</f>
        <v>#N/A</v>
      </c>
      <c r="AF84" s="53"/>
      <c r="AG84" s="56"/>
      <c r="AH84" s="56"/>
      <c r="AI84" s="83" t="e">
        <f>ROUND(AF84*(HLOOKUP(AF$7,$D$9:$G84,ROW()-8,0)+AI$8),0)+ROUND(AH84*AI$8,0)</f>
        <v>#N/A</v>
      </c>
      <c r="AJ84" s="53"/>
      <c r="AK84" s="56"/>
      <c r="AL84" s="56"/>
      <c r="AM84" s="83" t="e">
        <f>ROUND(AJ84*(HLOOKUP(AJ$7,$D$9:$G84,ROW()-8,0)+AM$8),0)+ROUND(AL84*AM$8,0)</f>
        <v>#N/A</v>
      </c>
      <c r="AN84" s="53"/>
      <c r="AO84" s="56"/>
      <c r="AP84" s="56"/>
      <c r="AQ84" s="83" t="e">
        <f>ROUND(AN84*(HLOOKUP(AN$7,$D$9:$G84,ROW()-8,0)+AQ$8),0)+ROUND(AP84*AQ$8,0)</f>
        <v>#N/A</v>
      </c>
      <c r="AR84" s="53"/>
      <c r="AS84" s="56"/>
      <c r="AT84" s="56"/>
      <c r="AU84" s="83" t="e">
        <f>ROUND(AR84*(HLOOKUP(AR$7,$D$9:$G84,ROW()-8,0)+AU$8),0)+ROUND(AT84*AU$8,0)</f>
        <v>#N/A</v>
      </c>
      <c r="AV84" s="53"/>
      <c r="AW84" s="56"/>
      <c r="AX84" s="56"/>
      <c r="AY84" s="83" t="e">
        <f>ROUND(AV84*(HLOOKUP(AV$7,$D$9:$G84,ROW()-8,0)+AY$8),0)+ROUND(AX84*AY$8,0)</f>
        <v>#N/A</v>
      </c>
      <c r="AZ84" s="53"/>
      <c r="BA84" s="56"/>
      <c r="BB84" s="56"/>
      <c r="BC84" s="83" t="e">
        <f>ROUND(AZ84*(HLOOKUP(AZ$7,$D$9:$G84,ROW()-8,0)+BC$8),0)+ROUND(BB84*BC$8,0)</f>
        <v>#N/A</v>
      </c>
      <c r="BD84" s="53"/>
      <c r="BE84" s="56"/>
      <c r="BF84" s="56"/>
      <c r="BG84" s="83" t="e">
        <f>ROUND(BD84*(HLOOKUP(BD$7,$D$9:$G84,ROW()-8,0)+BG$8),0)+ROUND(BF84*BG$8,0)</f>
        <v>#N/A</v>
      </c>
      <c r="BH84" s="53"/>
      <c r="BI84" s="56"/>
      <c r="BJ84" s="56"/>
      <c r="BK84" s="83" t="e">
        <f>ROUND(BH84*(HLOOKUP(BH$7,$D$9:$G84,ROW()-8,0)+BK$8),0)+ROUND(BJ84*BK$8,0)</f>
        <v>#N/A</v>
      </c>
      <c r="BL84" s="53"/>
      <c r="BM84" s="56"/>
      <c r="BN84" s="56"/>
      <c r="BO84" s="83" t="e">
        <f>ROUND(BL84*(HLOOKUP(BL$7,$D$9:$G84,ROW()-8,0)+BO$8),0)+ROUND(BN84*BO$8,0)</f>
        <v>#N/A</v>
      </c>
      <c r="BP84" s="53"/>
      <c r="BQ84" s="56"/>
      <c r="BR84" s="56"/>
      <c r="BS84" s="83" t="e">
        <f>ROUND(BP84*(HLOOKUP(BP$7,$D$9:$G84,ROW()-8,0)+BS$8),0)+ROUND(BR84*BS$8,0)</f>
        <v>#N/A</v>
      </c>
      <c r="BT84" s="54">
        <f t="shared" si="4"/>
        <v>0</v>
      </c>
      <c r="BU84" s="54">
        <f t="shared" si="4"/>
        <v>0</v>
      </c>
      <c r="BV84" s="54">
        <f t="shared" si="4"/>
        <v>0</v>
      </c>
      <c r="BW84" s="54">
        <f t="shared" si="4"/>
        <v>0</v>
      </c>
      <c r="BX84" s="63"/>
      <c r="BY84" s="107"/>
      <c r="BZ84" s="57" t="e">
        <f t="shared" si="3"/>
        <v>#DIV/0!</v>
      </c>
    </row>
    <row r="85" spans="3:78" ht="17.25">
      <c r="C85" s="64"/>
      <c r="D85" s="105"/>
      <c r="E85" s="106"/>
      <c r="F85" s="106"/>
      <c r="G85" s="110"/>
      <c r="H85" s="95"/>
      <c r="I85" s="56"/>
      <c r="J85" s="56"/>
      <c r="K85" s="83" t="e">
        <f>ROUND(H85*(HLOOKUP(H$7,$D$9:$G85,ROW()-8,0)+K$8),0)+ROUND(J85*K$8,0)</f>
        <v>#N/A</v>
      </c>
      <c r="L85" s="53"/>
      <c r="M85" s="56"/>
      <c r="N85" s="56"/>
      <c r="O85" s="83" t="e">
        <f>ROUND(L85*(HLOOKUP(L$7,$D$9:$G85,ROW()-8,0)+O$8),0)+ROUND(N85*O$8,0)</f>
        <v>#N/A</v>
      </c>
      <c r="P85" s="53"/>
      <c r="Q85" s="56"/>
      <c r="R85" s="56"/>
      <c r="S85" s="83" t="e">
        <f>ROUND(P85*(HLOOKUP(P$7,$D$9:$G85,ROW()-8,0)+S$8),0)+ROUND(R85*S$8,0)</f>
        <v>#N/A</v>
      </c>
      <c r="T85" s="53"/>
      <c r="U85" s="56"/>
      <c r="V85" s="56"/>
      <c r="W85" s="83" t="e">
        <f>ROUND(T85*(HLOOKUP(T$7,$D$9:$G85,ROW()-8,0)+W$8),0)+ROUND(V85*W$8,0)</f>
        <v>#N/A</v>
      </c>
      <c r="X85" s="53"/>
      <c r="Y85" s="56"/>
      <c r="Z85" s="56"/>
      <c r="AA85" s="83" t="e">
        <f>ROUND(X85*(HLOOKUP(X$7,$D$9:$G85,ROW()-8,0)+AA$8),0)+ROUND(Z85*AA$8,0)</f>
        <v>#N/A</v>
      </c>
      <c r="AB85" s="53"/>
      <c r="AC85" s="56"/>
      <c r="AD85" s="56"/>
      <c r="AE85" s="83" t="e">
        <f>ROUND(AB85*(HLOOKUP(AB$7,$D$9:$G85,ROW()-8,0)+AE$8),0)+ROUND(AD85*AE$8,0)</f>
        <v>#N/A</v>
      </c>
      <c r="AF85" s="53"/>
      <c r="AG85" s="56"/>
      <c r="AH85" s="56"/>
      <c r="AI85" s="83" t="e">
        <f>ROUND(AF85*(HLOOKUP(AF$7,$D$9:$G85,ROW()-8,0)+AI$8),0)+ROUND(AH85*AI$8,0)</f>
        <v>#N/A</v>
      </c>
      <c r="AJ85" s="53"/>
      <c r="AK85" s="56"/>
      <c r="AL85" s="56"/>
      <c r="AM85" s="83" t="e">
        <f>ROUND(AJ85*(HLOOKUP(AJ$7,$D$9:$G85,ROW()-8,0)+AM$8),0)+ROUND(AL85*AM$8,0)</f>
        <v>#N/A</v>
      </c>
      <c r="AN85" s="53"/>
      <c r="AO85" s="56"/>
      <c r="AP85" s="56"/>
      <c r="AQ85" s="83" t="e">
        <f>ROUND(AN85*(HLOOKUP(AN$7,$D$9:$G85,ROW()-8,0)+AQ$8),0)+ROUND(AP85*AQ$8,0)</f>
        <v>#N/A</v>
      </c>
      <c r="AR85" s="53"/>
      <c r="AS85" s="56"/>
      <c r="AT85" s="56"/>
      <c r="AU85" s="83" t="e">
        <f>ROUND(AR85*(HLOOKUP(AR$7,$D$9:$G85,ROW()-8,0)+AU$8),0)+ROUND(AT85*AU$8,0)</f>
        <v>#N/A</v>
      </c>
      <c r="AV85" s="53"/>
      <c r="AW85" s="56"/>
      <c r="AX85" s="56"/>
      <c r="AY85" s="83" t="e">
        <f>ROUND(AV85*(HLOOKUP(AV$7,$D$9:$G85,ROW()-8,0)+AY$8),0)+ROUND(AX85*AY$8,0)</f>
        <v>#N/A</v>
      </c>
      <c r="AZ85" s="53"/>
      <c r="BA85" s="56"/>
      <c r="BB85" s="56"/>
      <c r="BC85" s="83" t="e">
        <f>ROUND(AZ85*(HLOOKUP(AZ$7,$D$9:$G85,ROW()-8,0)+BC$8),0)+ROUND(BB85*BC$8,0)</f>
        <v>#N/A</v>
      </c>
      <c r="BD85" s="53"/>
      <c r="BE85" s="56"/>
      <c r="BF85" s="56"/>
      <c r="BG85" s="83" t="e">
        <f>ROUND(BD85*(HLOOKUP(BD$7,$D$9:$G85,ROW()-8,0)+BG$8),0)+ROUND(BF85*BG$8,0)</f>
        <v>#N/A</v>
      </c>
      <c r="BH85" s="53"/>
      <c r="BI85" s="56"/>
      <c r="BJ85" s="56"/>
      <c r="BK85" s="83" t="e">
        <f>ROUND(BH85*(HLOOKUP(BH$7,$D$9:$G85,ROW()-8,0)+BK$8),0)+ROUND(BJ85*BK$8,0)</f>
        <v>#N/A</v>
      </c>
      <c r="BL85" s="53"/>
      <c r="BM85" s="56"/>
      <c r="BN85" s="56"/>
      <c r="BO85" s="83" t="e">
        <f>ROUND(BL85*(HLOOKUP(BL$7,$D$9:$G85,ROW()-8,0)+BO$8),0)+ROUND(BN85*BO$8,0)</f>
        <v>#N/A</v>
      </c>
      <c r="BP85" s="53"/>
      <c r="BQ85" s="56"/>
      <c r="BR85" s="56"/>
      <c r="BS85" s="83" t="e">
        <f>ROUND(BP85*(HLOOKUP(BP$7,$D$9:$G85,ROW()-8,0)+BS$8),0)+ROUND(BR85*BS$8,0)</f>
        <v>#N/A</v>
      </c>
      <c r="BT85" s="54">
        <f t="shared" si="4"/>
        <v>0</v>
      </c>
      <c r="BU85" s="54">
        <f t="shared" si="4"/>
        <v>0</v>
      </c>
      <c r="BV85" s="54">
        <f t="shared" si="4"/>
        <v>0</v>
      </c>
      <c r="BW85" s="54">
        <f t="shared" si="4"/>
        <v>0</v>
      </c>
      <c r="BX85" s="63"/>
      <c r="BY85" s="107"/>
      <c r="BZ85" s="57" t="e">
        <f t="shared" si="3"/>
        <v>#DIV/0!</v>
      </c>
    </row>
    <row r="86" spans="3:78" ht="17.25">
      <c r="C86" s="64"/>
      <c r="D86" s="105"/>
      <c r="E86" s="106"/>
      <c r="F86" s="106"/>
      <c r="G86" s="110"/>
      <c r="H86" s="95"/>
      <c r="I86" s="56"/>
      <c r="J86" s="56"/>
      <c r="K86" s="83" t="e">
        <f>ROUND(H86*(HLOOKUP(H$7,$D$9:$G86,ROW()-8,0)+K$8),0)+ROUND(J86*K$8,0)</f>
        <v>#N/A</v>
      </c>
      <c r="L86" s="53"/>
      <c r="M86" s="56"/>
      <c r="N86" s="56"/>
      <c r="O86" s="83" t="e">
        <f>ROUND(L86*(HLOOKUP(L$7,$D$9:$G86,ROW()-8,0)+O$8),0)+ROUND(N86*O$8,0)</f>
        <v>#N/A</v>
      </c>
      <c r="P86" s="53"/>
      <c r="Q86" s="56"/>
      <c r="R86" s="56"/>
      <c r="S86" s="83" t="e">
        <f>ROUND(P86*(HLOOKUP(P$7,$D$9:$G86,ROW()-8,0)+S$8),0)+ROUND(R86*S$8,0)</f>
        <v>#N/A</v>
      </c>
      <c r="T86" s="53"/>
      <c r="U86" s="56"/>
      <c r="V86" s="56"/>
      <c r="W86" s="83" t="e">
        <f>ROUND(T86*(HLOOKUP(T$7,$D$9:$G86,ROW()-8,0)+W$8),0)+ROUND(V86*W$8,0)</f>
        <v>#N/A</v>
      </c>
      <c r="X86" s="53"/>
      <c r="Y86" s="56"/>
      <c r="Z86" s="56"/>
      <c r="AA86" s="83" t="e">
        <f>ROUND(X86*(HLOOKUP(X$7,$D$9:$G86,ROW()-8,0)+AA$8),0)+ROUND(Z86*AA$8,0)</f>
        <v>#N/A</v>
      </c>
      <c r="AB86" s="53"/>
      <c r="AC86" s="56"/>
      <c r="AD86" s="56"/>
      <c r="AE86" s="83" t="e">
        <f>ROUND(AB86*(HLOOKUP(AB$7,$D$9:$G86,ROW()-8,0)+AE$8),0)+ROUND(AD86*AE$8,0)</f>
        <v>#N/A</v>
      </c>
      <c r="AF86" s="53"/>
      <c r="AG86" s="56"/>
      <c r="AH86" s="56"/>
      <c r="AI86" s="83" t="e">
        <f>ROUND(AF86*(HLOOKUP(AF$7,$D$9:$G86,ROW()-8,0)+AI$8),0)+ROUND(AH86*AI$8,0)</f>
        <v>#N/A</v>
      </c>
      <c r="AJ86" s="53"/>
      <c r="AK86" s="56"/>
      <c r="AL86" s="56"/>
      <c r="AM86" s="83" t="e">
        <f>ROUND(AJ86*(HLOOKUP(AJ$7,$D$9:$G86,ROW()-8,0)+AM$8),0)+ROUND(AL86*AM$8,0)</f>
        <v>#N/A</v>
      </c>
      <c r="AN86" s="53"/>
      <c r="AO86" s="56"/>
      <c r="AP86" s="56"/>
      <c r="AQ86" s="83" t="e">
        <f>ROUND(AN86*(HLOOKUP(AN$7,$D$9:$G86,ROW()-8,0)+AQ$8),0)+ROUND(AP86*AQ$8,0)</f>
        <v>#N/A</v>
      </c>
      <c r="AR86" s="53"/>
      <c r="AS86" s="56"/>
      <c r="AT86" s="56"/>
      <c r="AU86" s="83" t="e">
        <f>ROUND(AR86*(HLOOKUP(AR$7,$D$9:$G86,ROW()-8,0)+AU$8),0)+ROUND(AT86*AU$8,0)</f>
        <v>#N/A</v>
      </c>
      <c r="AV86" s="53"/>
      <c r="AW86" s="56"/>
      <c r="AX86" s="56"/>
      <c r="AY86" s="83" t="e">
        <f>ROUND(AV86*(HLOOKUP(AV$7,$D$9:$G86,ROW()-8,0)+AY$8),0)+ROUND(AX86*AY$8,0)</f>
        <v>#N/A</v>
      </c>
      <c r="AZ86" s="53"/>
      <c r="BA86" s="56"/>
      <c r="BB86" s="56"/>
      <c r="BC86" s="83" t="e">
        <f>ROUND(AZ86*(HLOOKUP(AZ$7,$D$9:$G86,ROW()-8,0)+BC$8),0)+ROUND(BB86*BC$8,0)</f>
        <v>#N/A</v>
      </c>
      <c r="BD86" s="53"/>
      <c r="BE86" s="56"/>
      <c r="BF86" s="56"/>
      <c r="BG86" s="83" t="e">
        <f>ROUND(BD86*(HLOOKUP(BD$7,$D$9:$G86,ROW()-8,0)+BG$8),0)+ROUND(BF86*BG$8,0)</f>
        <v>#N/A</v>
      </c>
      <c r="BH86" s="53"/>
      <c r="BI86" s="56"/>
      <c r="BJ86" s="56"/>
      <c r="BK86" s="83" t="e">
        <f>ROUND(BH86*(HLOOKUP(BH$7,$D$9:$G86,ROW()-8,0)+BK$8),0)+ROUND(BJ86*BK$8,0)</f>
        <v>#N/A</v>
      </c>
      <c r="BL86" s="53"/>
      <c r="BM86" s="56"/>
      <c r="BN86" s="56"/>
      <c r="BO86" s="83" t="e">
        <f>ROUND(BL86*(HLOOKUP(BL$7,$D$9:$G86,ROW()-8,0)+BO$8),0)+ROUND(BN86*BO$8,0)</f>
        <v>#N/A</v>
      </c>
      <c r="BP86" s="53"/>
      <c r="BQ86" s="56"/>
      <c r="BR86" s="56"/>
      <c r="BS86" s="83" t="e">
        <f>ROUND(BP86*(HLOOKUP(BP$7,$D$9:$G86,ROW()-8,0)+BS$8),0)+ROUND(BR86*BS$8,0)</f>
        <v>#N/A</v>
      </c>
      <c r="BT86" s="54">
        <f t="shared" si="4"/>
        <v>0</v>
      </c>
      <c r="BU86" s="54">
        <f t="shared" si="4"/>
        <v>0</v>
      </c>
      <c r="BV86" s="54">
        <f t="shared" si="4"/>
        <v>0</v>
      </c>
      <c r="BW86" s="54">
        <f t="shared" si="4"/>
        <v>0</v>
      </c>
      <c r="BX86" s="63"/>
      <c r="BY86" s="107"/>
      <c r="BZ86" s="57" t="e">
        <f t="shared" si="3"/>
        <v>#DIV/0!</v>
      </c>
    </row>
    <row r="87" spans="3:78" ht="17.25">
      <c r="C87" s="64"/>
      <c r="D87" s="105"/>
      <c r="E87" s="106"/>
      <c r="F87" s="106"/>
      <c r="G87" s="110"/>
      <c r="H87" s="95"/>
      <c r="I87" s="56"/>
      <c r="J87" s="56"/>
      <c r="K87" s="83" t="e">
        <f>ROUND(H87*(HLOOKUP(H$7,$D$9:$G87,ROW()-8,0)+K$8),0)+ROUND(J87*K$8,0)</f>
        <v>#N/A</v>
      </c>
      <c r="L87" s="53"/>
      <c r="M87" s="56"/>
      <c r="N87" s="56"/>
      <c r="O87" s="83" t="e">
        <f>ROUND(L87*(HLOOKUP(L$7,$D$9:$G87,ROW()-8,0)+O$8),0)+ROUND(N87*O$8,0)</f>
        <v>#N/A</v>
      </c>
      <c r="P87" s="53"/>
      <c r="Q87" s="56"/>
      <c r="R87" s="56"/>
      <c r="S87" s="83" t="e">
        <f>ROUND(P87*(HLOOKUP(P$7,$D$9:$G87,ROW()-8,0)+S$8),0)+ROUND(R87*S$8,0)</f>
        <v>#N/A</v>
      </c>
      <c r="T87" s="53"/>
      <c r="U87" s="56"/>
      <c r="V87" s="56"/>
      <c r="W87" s="83" t="e">
        <f>ROUND(T87*(HLOOKUP(T$7,$D$9:$G87,ROW()-8,0)+W$8),0)+ROUND(V87*W$8,0)</f>
        <v>#N/A</v>
      </c>
      <c r="X87" s="53"/>
      <c r="Y87" s="56"/>
      <c r="Z87" s="56"/>
      <c r="AA87" s="83" t="e">
        <f>ROUND(X87*(HLOOKUP(X$7,$D$9:$G87,ROW()-8,0)+AA$8),0)+ROUND(Z87*AA$8,0)</f>
        <v>#N/A</v>
      </c>
      <c r="AB87" s="53"/>
      <c r="AC87" s="56"/>
      <c r="AD87" s="56"/>
      <c r="AE87" s="83" t="e">
        <f>ROUND(AB87*(HLOOKUP(AB$7,$D$9:$G87,ROW()-8,0)+AE$8),0)+ROUND(AD87*AE$8,0)</f>
        <v>#N/A</v>
      </c>
      <c r="AF87" s="53"/>
      <c r="AG87" s="56"/>
      <c r="AH87" s="56"/>
      <c r="AI87" s="83" t="e">
        <f>ROUND(AF87*(HLOOKUP(AF$7,$D$9:$G87,ROW()-8,0)+AI$8),0)+ROUND(AH87*AI$8,0)</f>
        <v>#N/A</v>
      </c>
      <c r="AJ87" s="53"/>
      <c r="AK87" s="56"/>
      <c r="AL87" s="56"/>
      <c r="AM87" s="83" t="e">
        <f>ROUND(AJ87*(HLOOKUP(AJ$7,$D$9:$G87,ROW()-8,0)+AM$8),0)+ROUND(AL87*AM$8,0)</f>
        <v>#N/A</v>
      </c>
      <c r="AN87" s="53"/>
      <c r="AO87" s="56"/>
      <c r="AP87" s="56"/>
      <c r="AQ87" s="83" t="e">
        <f>ROUND(AN87*(HLOOKUP(AN$7,$D$9:$G87,ROW()-8,0)+AQ$8),0)+ROUND(AP87*AQ$8,0)</f>
        <v>#N/A</v>
      </c>
      <c r="AR87" s="53"/>
      <c r="AS87" s="56"/>
      <c r="AT87" s="56"/>
      <c r="AU87" s="83" t="e">
        <f>ROUND(AR87*(HLOOKUP(AR$7,$D$9:$G87,ROW()-8,0)+AU$8),0)+ROUND(AT87*AU$8,0)</f>
        <v>#N/A</v>
      </c>
      <c r="AV87" s="53"/>
      <c r="AW87" s="56"/>
      <c r="AX87" s="56"/>
      <c r="AY87" s="83" t="e">
        <f>ROUND(AV87*(HLOOKUP(AV$7,$D$9:$G87,ROW()-8,0)+AY$8),0)+ROUND(AX87*AY$8,0)</f>
        <v>#N/A</v>
      </c>
      <c r="AZ87" s="53"/>
      <c r="BA87" s="56"/>
      <c r="BB87" s="56"/>
      <c r="BC87" s="83" t="e">
        <f>ROUND(AZ87*(HLOOKUP(AZ$7,$D$9:$G87,ROW()-8,0)+BC$8),0)+ROUND(BB87*BC$8,0)</f>
        <v>#N/A</v>
      </c>
      <c r="BD87" s="53"/>
      <c r="BE87" s="56"/>
      <c r="BF87" s="56"/>
      <c r="BG87" s="83" t="e">
        <f>ROUND(BD87*(HLOOKUP(BD$7,$D$9:$G87,ROW()-8,0)+BG$8),0)+ROUND(BF87*BG$8,0)</f>
        <v>#N/A</v>
      </c>
      <c r="BH87" s="53"/>
      <c r="BI87" s="56"/>
      <c r="BJ87" s="56"/>
      <c r="BK87" s="83" t="e">
        <f>ROUND(BH87*(HLOOKUP(BH$7,$D$9:$G87,ROW()-8,0)+BK$8),0)+ROUND(BJ87*BK$8,0)</f>
        <v>#N/A</v>
      </c>
      <c r="BL87" s="53"/>
      <c r="BM87" s="56"/>
      <c r="BN87" s="56"/>
      <c r="BO87" s="83" t="e">
        <f>ROUND(BL87*(HLOOKUP(BL$7,$D$9:$G87,ROW()-8,0)+BO$8),0)+ROUND(BN87*BO$8,0)</f>
        <v>#N/A</v>
      </c>
      <c r="BP87" s="53"/>
      <c r="BQ87" s="56"/>
      <c r="BR87" s="56"/>
      <c r="BS87" s="83" t="e">
        <f>ROUND(BP87*(HLOOKUP(BP$7,$D$9:$G87,ROW()-8,0)+BS$8),0)+ROUND(BR87*BS$8,0)</f>
        <v>#N/A</v>
      </c>
      <c r="BT87" s="54">
        <f t="shared" si="4"/>
        <v>0</v>
      </c>
      <c r="BU87" s="54">
        <f t="shared" si="4"/>
        <v>0</v>
      </c>
      <c r="BV87" s="54">
        <f t="shared" si="4"/>
        <v>0</v>
      </c>
      <c r="BW87" s="54">
        <f t="shared" si="4"/>
        <v>0</v>
      </c>
      <c r="BX87" s="63"/>
      <c r="BY87" s="107"/>
      <c r="BZ87" s="57" t="e">
        <f t="shared" si="3"/>
        <v>#DIV/0!</v>
      </c>
    </row>
    <row r="88" spans="3:78" ht="17.25">
      <c r="C88" s="64"/>
      <c r="D88" s="105"/>
      <c r="E88" s="106"/>
      <c r="F88" s="106"/>
      <c r="G88" s="110"/>
      <c r="H88" s="95"/>
      <c r="I88" s="56"/>
      <c r="J88" s="56"/>
      <c r="K88" s="83" t="e">
        <f>ROUND(H88*(HLOOKUP(H$7,$D$9:$G88,ROW()-8,0)+K$8),0)+ROUND(J88*K$8,0)</f>
        <v>#N/A</v>
      </c>
      <c r="L88" s="53"/>
      <c r="M88" s="56"/>
      <c r="N88" s="56"/>
      <c r="O88" s="83" t="e">
        <f>ROUND(L88*(HLOOKUP(L$7,$D$9:$G88,ROW()-8,0)+O$8),0)+ROUND(N88*O$8,0)</f>
        <v>#N/A</v>
      </c>
      <c r="P88" s="53"/>
      <c r="Q88" s="56"/>
      <c r="R88" s="56"/>
      <c r="S88" s="83" t="e">
        <f>ROUND(P88*(HLOOKUP(P$7,$D$9:$G88,ROW()-8,0)+S$8),0)+ROUND(R88*S$8,0)</f>
        <v>#N/A</v>
      </c>
      <c r="T88" s="53"/>
      <c r="U88" s="56"/>
      <c r="V88" s="56"/>
      <c r="W88" s="83" t="e">
        <f>ROUND(T88*(HLOOKUP(T$7,$D$9:$G88,ROW()-8,0)+W$8),0)+ROUND(V88*W$8,0)</f>
        <v>#N/A</v>
      </c>
      <c r="X88" s="53"/>
      <c r="Y88" s="56"/>
      <c r="Z88" s="56"/>
      <c r="AA88" s="83" t="e">
        <f>ROUND(X88*(HLOOKUP(X$7,$D$9:$G88,ROW()-8,0)+AA$8),0)+ROUND(Z88*AA$8,0)</f>
        <v>#N/A</v>
      </c>
      <c r="AB88" s="53"/>
      <c r="AC88" s="56"/>
      <c r="AD88" s="56"/>
      <c r="AE88" s="83" t="e">
        <f>ROUND(AB88*(HLOOKUP(AB$7,$D$9:$G88,ROW()-8,0)+AE$8),0)+ROUND(AD88*AE$8,0)</f>
        <v>#N/A</v>
      </c>
      <c r="AF88" s="53"/>
      <c r="AG88" s="56"/>
      <c r="AH88" s="56"/>
      <c r="AI88" s="83" t="e">
        <f>ROUND(AF88*(HLOOKUP(AF$7,$D$9:$G88,ROW()-8,0)+AI$8),0)+ROUND(AH88*AI$8,0)</f>
        <v>#N/A</v>
      </c>
      <c r="AJ88" s="53"/>
      <c r="AK88" s="56"/>
      <c r="AL88" s="56"/>
      <c r="AM88" s="83" t="e">
        <f>ROUND(AJ88*(HLOOKUP(AJ$7,$D$9:$G88,ROW()-8,0)+AM$8),0)+ROUND(AL88*AM$8,0)</f>
        <v>#N/A</v>
      </c>
      <c r="AN88" s="53"/>
      <c r="AO88" s="56"/>
      <c r="AP88" s="56"/>
      <c r="AQ88" s="83" t="e">
        <f>ROUND(AN88*(HLOOKUP(AN$7,$D$9:$G88,ROW()-8,0)+AQ$8),0)+ROUND(AP88*AQ$8,0)</f>
        <v>#N/A</v>
      </c>
      <c r="AR88" s="53"/>
      <c r="AS88" s="56"/>
      <c r="AT88" s="56"/>
      <c r="AU88" s="83" t="e">
        <f>ROUND(AR88*(HLOOKUP(AR$7,$D$9:$G88,ROW()-8,0)+AU$8),0)+ROUND(AT88*AU$8,0)</f>
        <v>#N/A</v>
      </c>
      <c r="AV88" s="53"/>
      <c r="AW88" s="56"/>
      <c r="AX88" s="56"/>
      <c r="AY88" s="83" t="e">
        <f>ROUND(AV88*(HLOOKUP(AV$7,$D$9:$G88,ROW()-8,0)+AY$8),0)+ROUND(AX88*AY$8,0)</f>
        <v>#N/A</v>
      </c>
      <c r="AZ88" s="53"/>
      <c r="BA88" s="56"/>
      <c r="BB88" s="56"/>
      <c r="BC88" s="83" t="e">
        <f>ROUND(AZ88*(HLOOKUP(AZ$7,$D$9:$G88,ROW()-8,0)+BC$8),0)+ROUND(BB88*BC$8,0)</f>
        <v>#N/A</v>
      </c>
      <c r="BD88" s="53"/>
      <c r="BE88" s="56"/>
      <c r="BF88" s="56"/>
      <c r="BG88" s="83" t="e">
        <f>ROUND(BD88*(HLOOKUP(BD$7,$D$9:$G88,ROW()-8,0)+BG$8),0)+ROUND(BF88*BG$8,0)</f>
        <v>#N/A</v>
      </c>
      <c r="BH88" s="53"/>
      <c r="BI88" s="56"/>
      <c r="BJ88" s="56"/>
      <c r="BK88" s="83" t="e">
        <f>ROUND(BH88*(HLOOKUP(BH$7,$D$9:$G88,ROW()-8,0)+BK$8),0)+ROUND(BJ88*BK$8,0)</f>
        <v>#N/A</v>
      </c>
      <c r="BL88" s="53"/>
      <c r="BM88" s="56"/>
      <c r="BN88" s="56"/>
      <c r="BO88" s="83" t="e">
        <f>ROUND(BL88*(HLOOKUP(BL$7,$D$9:$G88,ROW()-8,0)+BO$8),0)+ROUND(BN88*BO$8,0)</f>
        <v>#N/A</v>
      </c>
      <c r="BP88" s="53"/>
      <c r="BQ88" s="56"/>
      <c r="BR88" s="56"/>
      <c r="BS88" s="83" t="e">
        <f>ROUND(BP88*(HLOOKUP(BP$7,$D$9:$G88,ROW()-8,0)+BS$8),0)+ROUND(BR88*BS$8,0)</f>
        <v>#N/A</v>
      </c>
      <c r="BT88" s="54">
        <f t="shared" si="4"/>
        <v>0</v>
      </c>
      <c r="BU88" s="54">
        <f t="shared" si="4"/>
        <v>0</v>
      </c>
      <c r="BV88" s="54">
        <f t="shared" si="4"/>
        <v>0</v>
      </c>
      <c r="BW88" s="54">
        <f t="shared" si="4"/>
        <v>0</v>
      </c>
      <c r="BX88" s="63"/>
      <c r="BY88" s="107"/>
      <c r="BZ88" s="57" t="e">
        <f t="shared" si="3"/>
        <v>#DIV/0!</v>
      </c>
    </row>
    <row r="89" spans="3:78" ht="17.25">
      <c r="C89" s="64"/>
      <c r="D89" s="105"/>
      <c r="E89" s="106"/>
      <c r="F89" s="106"/>
      <c r="G89" s="110"/>
      <c r="H89" s="95"/>
      <c r="I89" s="56"/>
      <c r="J89" s="56"/>
      <c r="K89" s="83" t="e">
        <f>ROUND(H89*(HLOOKUP(H$7,$D$9:$G89,ROW()-8,0)+K$8),0)+ROUND(J89*K$8,0)</f>
        <v>#N/A</v>
      </c>
      <c r="L89" s="53"/>
      <c r="M89" s="56"/>
      <c r="N89" s="56"/>
      <c r="O89" s="83" t="e">
        <f>ROUND(L89*(HLOOKUP(L$7,$D$9:$G89,ROW()-8,0)+O$8),0)+ROUND(N89*O$8,0)</f>
        <v>#N/A</v>
      </c>
      <c r="P89" s="53"/>
      <c r="Q89" s="56"/>
      <c r="R89" s="56"/>
      <c r="S89" s="83" t="e">
        <f>ROUND(P89*(HLOOKUP(P$7,$D$9:$G89,ROW()-8,0)+S$8),0)+ROUND(R89*S$8,0)</f>
        <v>#N/A</v>
      </c>
      <c r="T89" s="53"/>
      <c r="U89" s="56"/>
      <c r="V89" s="56"/>
      <c r="W89" s="83" t="e">
        <f>ROUND(T89*(HLOOKUP(T$7,$D$9:$G89,ROW()-8,0)+W$8),0)+ROUND(V89*W$8,0)</f>
        <v>#N/A</v>
      </c>
      <c r="X89" s="53"/>
      <c r="Y89" s="56"/>
      <c r="Z89" s="56"/>
      <c r="AA89" s="83" t="e">
        <f>ROUND(X89*(HLOOKUP(X$7,$D$9:$G89,ROW()-8,0)+AA$8),0)+ROUND(Z89*AA$8,0)</f>
        <v>#N/A</v>
      </c>
      <c r="AB89" s="53"/>
      <c r="AC89" s="56"/>
      <c r="AD89" s="56"/>
      <c r="AE89" s="83" t="e">
        <f>ROUND(AB89*(HLOOKUP(AB$7,$D$9:$G89,ROW()-8,0)+AE$8),0)+ROUND(AD89*AE$8,0)</f>
        <v>#N/A</v>
      </c>
      <c r="AF89" s="53"/>
      <c r="AG89" s="56"/>
      <c r="AH89" s="56"/>
      <c r="AI89" s="83" t="e">
        <f>ROUND(AF89*(HLOOKUP(AF$7,$D$9:$G89,ROW()-8,0)+AI$8),0)+ROUND(AH89*AI$8,0)</f>
        <v>#N/A</v>
      </c>
      <c r="AJ89" s="53"/>
      <c r="AK89" s="56"/>
      <c r="AL89" s="56"/>
      <c r="AM89" s="83" t="e">
        <f>ROUND(AJ89*(HLOOKUP(AJ$7,$D$9:$G89,ROW()-8,0)+AM$8),0)+ROUND(AL89*AM$8,0)</f>
        <v>#N/A</v>
      </c>
      <c r="AN89" s="53"/>
      <c r="AO89" s="56"/>
      <c r="AP89" s="56"/>
      <c r="AQ89" s="83" t="e">
        <f>ROUND(AN89*(HLOOKUP(AN$7,$D$9:$G89,ROW()-8,0)+AQ$8),0)+ROUND(AP89*AQ$8,0)</f>
        <v>#N/A</v>
      </c>
      <c r="AR89" s="53"/>
      <c r="AS89" s="56"/>
      <c r="AT89" s="56"/>
      <c r="AU89" s="83" t="e">
        <f>ROUND(AR89*(HLOOKUP(AR$7,$D$9:$G89,ROW()-8,0)+AU$8),0)+ROUND(AT89*AU$8,0)</f>
        <v>#N/A</v>
      </c>
      <c r="AV89" s="53"/>
      <c r="AW89" s="56"/>
      <c r="AX89" s="56"/>
      <c r="AY89" s="83" t="e">
        <f>ROUND(AV89*(HLOOKUP(AV$7,$D$9:$G89,ROW()-8,0)+AY$8),0)+ROUND(AX89*AY$8,0)</f>
        <v>#N/A</v>
      </c>
      <c r="AZ89" s="53"/>
      <c r="BA89" s="56"/>
      <c r="BB89" s="56"/>
      <c r="BC89" s="83" t="e">
        <f>ROUND(AZ89*(HLOOKUP(AZ$7,$D$9:$G89,ROW()-8,0)+BC$8),0)+ROUND(BB89*BC$8,0)</f>
        <v>#N/A</v>
      </c>
      <c r="BD89" s="53"/>
      <c r="BE89" s="56"/>
      <c r="BF89" s="56"/>
      <c r="BG89" s="83" t="e">
        <f>ROUND(BD89*(HLOOKUP(BD$7,$D$9:$G89,ROW()-8,0)+BG$8),0)+ROUND(BF89*BG$8,0)</f>
        <v>#N/A</v>
      </c>
      <c r="BH89" s="53"/>
      <c r="BI89" s="56"/>
      <c r="BJ89" s="56"/>
      <c r="BK89" s="83" t="e">
        <f>ROUND(BH89*(HLOOKUP(BH$7,$D$9:$G89,ROW()-8,0)+BK$8),0)+ROUND(BJ89*BK$8,0)</f>
        <v>#N/A</v>
      </c>
      <c r="BL89" s="53"/>
      <c r="BM89" s="56"/>
      <c r="BN89" s="56"/>
      <c r="BO89" s="83" t="e">
        <f>ROUND(BL89*(HLOOKUP(BL$7,$D$9:$G89,ROW()-8,0)+BO$8),0)+ROUND(BN89*BO$8,0)</f>
        <v>#N/A</v>
      </c>
      <c r="BP89" s="53"/>
      <c r="BQ89" s="56"/>
      <c r="BR89" s="56"/>
      <c r="BS89" s="83" t="e">
        <f>ROUND(BP89*(HLOOKUP(BP$7,$D$9:$G89,ROW()-8,0)+BS$8),0)+ROUND(BR89*BS$8,0)</f>
        <v>#N/A</v>
      </c>
      <c r="BT89" s="54">
        <f t="shared" si="4"/>
        <v>0</v>
      </c>
      <c r="BU89" s="54">
        <f t="shared" si="4"/>
        <v>0</v>
      </c>
      <c r="BV89" s="54">
        <f t="shared" si="4"/>
        <v>0</v>
      </c>
      <c r="BW89" s="54">
        <f t="shared" si="4"/>
        <v>0</v>
      </c>
      <c r="BX89" s="63"/>
      <c r="BY89" s="107"/>
      <c r="BZ89" s="57" t="e">
        <f t="shared" si="3"/>
        <v>#DIV/0!</v>
      </c>
    </row>
    <row r="90" spans="3:78" ht="17.25">
      <c r="C90" s="64"/>
      <c r="D90" s="105"/>
      <c r="E90" s="106"/>
      <c r="F90" s="106"/>
      <c r="G90" s="110"/>
      <c r="H90" s="95"/>
      <c r="I90" s="56"/>
      <c r="J90" s="56"/>
      <c r="K90" s="83" t="e">
        <f>ROUND(H90*(HLOOKUP(H$7,$D$9:$G90,ROW()-8,0)+K$8),0)+ROUND(J90*K$8,0)</f>
        <v>#N/A</v>
      </c>
      <c r="L90" s="53"/>
      <c r="M90" s="56"/>
      <c r="N90" s="56"/>
      <c r="O90" s="83" t="e">
        <f>ROUND(L90*(HLOOKUP(L$7,$D$9:$G90,ROW()-8,0)+O$8),0)+ROUND(N90*O$8,0)</f>
        <v>#N/A</v>
      </c>
      <c r="P90" s="53"/>
      <c r="Q90" s="56"/>
      <c r="R90" s="56"/>
      <c r="S90" s="83" t="e">
        <f>ROUND(P90*(HLOOKUP(P$7,$D$9:$G90,ROW()-8,0)+S$8),0)+ROUND(R90*S$8,0)</f>
        <v>#N/A</v>
      </c>
      <c r="T90" s="53"/>
      <c r="U90" s="56"/>
      <c r="V90" s="56"/>
      <c r="W90" s="83" t="e">
        <f>ROUND(T90*(HLOOKUP(T$7,$D$9:$G90,ROW()-8,0)+W$8),0)+ROUND(V90*W$8,0)</f>
        <v>#N/A</v>
      </c>
      <c r="X90" s="53"/>
      <c r="Y90" s="56"/>
      <c r="Z90" s="56"/>
      <c r="AA90" s="83" t="e">
        <f>ROUND(X90*(HLOOKUP(X$7,$D$9:$G90,ROW()-8,0)+AA$8),0)+ROUND(Z90*AA$8,0)</f>
        <v>#N/A</v>
      </c>
      <c r="AB90" s="53"/>
      <c r="AC90" s="56"/>
      <c r="AD90" s="56"/>
      <c r="AE90" s="83" t="e">
        <f>ROUND(AB90*(HLOOKUP(AB$7,$D$9:$G90,ROW()-8,0)+AE$8),0)+ROUND(AD90*AE$8,0)</f>
        <v>#N/A</v>
      </c>
      <c r="AF90" s="53"/>
      <c r="AG90" s="56"/>
      <c r="AH90" s="56"/>
      <c r="AI90" s="83" t="e">
        <f>ROUND(AF90*(HLOOKUP(AF$7,$D$9:$G90,ROW()-8,0)+AI$8),0)+ROUND(AH90*AI$8,0)</f>
        <v>#N/A</v>
      </c>
      <c r="AJ90" s="53"/>
      <c r="AK90" s="56"/>
      <c r="AL90" s="56"/>
      <c r="AM90" s="83" t="e">
        <f>ROUND(AJ90*(HLOOKUP(AJ$7,$D$9:$G90,ROW()-8,0)+AM$8),0)+ROUND(AL90*AM$8,0)</f>
        <v>#N/A</v>
      </c>
      <c r="AN90" s="53"/>
      <c r="AO90" s="56"/>
      <c r="AP90" s="56"/>
      <c r="AQ90" s="83" t="e">
        <f>ROUND(AN90*(HLOOKUP(AN$7,$D$9:$G90,ROW()-8,0)+AQ$8),0)+ROUND(AP90*AQ$8,0)</f>
        <v>#N/A</v>
      </c>
      <c r="AR90" s="53"/>
      <c r="AS90" s="56"/>
      <c r="AT90" s="56"/>
      <c r="AU90" s="83" t="e">
        <f>ROUND(AR90*(HLOOKUP(AR$7,$D$9:$G90,ROW()-8,0)+AU$8),0)+ROUND(AT90*AU$8,0)</f>
        <v>#N/A</v>
      </c>
      <c r="AV90" s="53"/>
      <c r="AW90" s="56"/>
      <c r="AX90" s="56"/>
      <c r="AY90" s="83" t="e">
        <f>ROUND(AV90*(HLOOKUP(AV$7,$D$9:$G90,ROW()-8,0)+AY$8),0)+ROUND(AX90*AY$8,0)</f>
        <v>#N/A</v>
      </c>
      <c r="AZ90" s="53"/>
      <c r="BA90" s="56"/>
      <c r="BB90" s="56"/>
      <c r="BC90" s="83" t="e">
        <f>ROUND(AZ90*(HLOOKUP(AZ$7,$D$9:$G90,ROW()-8,0)+BC$8),0)+ROUND(BB90*BC$8,0)</f>
        <v>#N/A</v>
      </c>
      <c r="BD90" s="53"/>
      <c r="BE90" s="56"/>
      <c r="BF90" s="56"/>
      <c r="BG90" s="83" t="e">
        <f>ROUND(BD90*(HLOOKUP(BD$7,$D$9:$G90,ROW()-8,0)+BG$8),0)+ROUND(BF90*BG$8,0)</f>
        <v>#N/A</v>
      </c>
      <c r="BH90" s="53"/>
      <c r="BI90" s="56"/>
      <c r="BJ90" s="56"/>
      <c r="BK90" s="83" t="e">
        <f>ROUND(BH90*(HLOOKUP(BH$7,$D$9:$G90,ROW()-8,0)+BK$8),0)+ROUND(BJ90*BK$8,0)</f>
        <v>#N/A</v>
      </c>
      <c r="BL90" s="53"/>
      <c r="BM90" s="56"/>
      <c r="BN90" s="56"/>
      <c r="BO90" s="83" t="e">
        <f>ROUND(BL90*(HLOOKUP(BL$7,$D$9:$G90,ROW()-8,0)+BO$8),0)+ROUND(BN90*BO$8,0)</f>
        <v>#N/A</v>
      </c>
      <c r="BP90" s="53"/>
      <c r="BQ90" s="56"/>
      <c r="BR90" s="56"/>
      <c r="BS90" s="83" t="e">
        <f>ROUND(BP90*(HLOOKUP(BP$7,$D$9:$G90,ROW()-8,0)+BS$8),0)+ROUND(BR90*BS$8,0)</f>
        <v>#N/A</v>
      </c>
      <c r="BT90" s="54">
        <f t="shared" si="4"/>
        <v>0</v>
      </c>
      <c r="BU90" s="54">
        <f t="shared" si="4"/>
        <v>0</v>
      </c>
      <c r="BV90" s="54">
        <f t="shared" si="4"/>
        <v>0</v>
      </c>
      <c r="BW90" s="54">
        <f t="shared" si="4"/>
        <v>0</v>
      </c>
      <c r="BX90" s="63"/>
      <c r="BY90" s="107"/>
      <c r="BZ90" s="57" t="e">
        <f t="shared" si="3"/>
        <v>#DIV/0!</v>
      </c>
    </row>
    <row r="91" spans="3:78" ht="17.25">
      <c r="C91" s="64"/>
      <c r="D91" s="105"/>
      <c r="E91" s="106"/>
      <c r="F91" s="106"/>
      <c r="G91" s="110"/>
      <c r="H91" s="95"/>
      <c r="I91" s="56"/>
      <c r="J91" s="56"/>
      <c r="K91" s="83" t="e">
        <f>ROUND(H91*(HLOOKUP(H$7,$D$9:$G91,ROW()-8,0)+K$8),0)+ROUND(J91*K$8,0)</f>
        <v>#N/A</v>
      </c>
      <c r="L91" s="53"/>
      <c r="M91" s="56"/>
      <c r="N91" s="56"/>
      <c r="O91" s="83" t="e">
        <f>ROUND(L91*(HLOOKUP(L$7,$D$9:$G91,ROW()-8,0)+O$8),0)+ROUND(N91*O$8,0)</f>
        <v>#N/A</v>
      </c>
      <c r="P91" s="53"/>
      <c r="Q91" s="56"/>
      <c r="R91" s="56"/>
      <c r="S91" s="83" t="e">
        <f>ROUND(P91*(HLOOKUP(P$7,$D$9:$G91,ROW()-8,0)+S$8),0)+ROUND(R91*S$8,0)</f>
        <v>#N/A</v>
      </c>
      <c r="T91" s="53"/>
      <c r="U91" s="56"/>
      <c r="V91" s="56"/>
      <c r="W91" s="83" t="e">
        <f>ROUND(T91*(HLOOKUP(T$7,$D$9:$G91,ROW()-8,0)+W$8),0)+ROUND(V91*W$8,0)</f>
        <v>#N/A</v>
      </c>
      <c r="X91" s="53"/>
      <c r="Y91" s="56"/>
      <c r="Z91" s="56"/>
      <c r="AA91" s="83" t="e">
        <f>ROUND(X91*(HLOOKUP(X$7,$D$9:$G91,ROW()-8,0)+AA$8),0)+ROUND(Z91*AA$8,0)</f>
        <v>#N/A</v>
      </c>
      <c r="AB91" s="53"/>
      <c r="AC91" s="56"/>
      <c r="AD91" s="56"/>
      <c r="AE91" s="83" t="e">
        <f>ROUND(AB91*(HLOOKUP(AB$7,$D$9:$G91,ROW()-8,0)+AE$8),0)+ROUND(AD91*AE$8,0)</f>
        <v>#N/A</v>
      </c>
      <c r="AF91" s="53"/>
      <c r="AG91" s="56"/>
      <c r="AH91" s="56"/>
      <c r="AI91" s="83" t="e">
        <f>ROUND(AF91*(HLOOKUP(AF$7,$D$9:$G91,ROW()-8,0)+AI$8),0)+ROUND(AH91*AI$8,0)</f>
        <v>#N/A</v>
      </c>
      <c r="AJ91" s="53"/>
      <c r="AK91" s="56"/>
      <c r="AL91" s="56"/>
      <c r="AM91" s="83" t="e">
        <f>ROUND(AJ91*(HLOOKUP(AJ$7,$D$9:$G91,ROW()-8,0)+AM$8),0)+ROUND(AL91*AM$8,0)</f>
        <v>#N/A</v>
      </c>
      <c r="AN91" s="53"/>
      <c r="AO91" s="56"/>
      <c r="AP91" s="56"/>
      <c r="AQ91" s="83" t="e">
        <f>ROUND(AN91*(HLOOKUP(AN$7,$D$9:$G91,ROW()-8,0)+AQ$8),0)+ROUND(AP91*AQ$8,0)</f>
        <v>#N/A</v>
      </c>
      <c r="AR91" s="53"/>
      <c r="AS91" s="56"/>
      <c r="AT91" s="56"/>
      <c r="AU91" s="83" t="e">
        <f>ROUND(AR91*(HLOOKUP(AR$7,$D$9:$G91,ROW()-8,0)+AU$8),0)+ROUND(AT91*AU$8,0)</f>
        <v>#N/A</v>
      </c>
      <c r="AV91" s="53"/>
      <c r="AW91" s="56"/>
      <c r="AX91" s="56"/>
      <c r="AY91" s="83" t="e">
        <f>ROUND(AV91*(HLOOKUP(AV$7,$D$9:$G91,ROW()-8,0)+AY$8),0)+ROUND(AX91*AY$8,0)</f>
        <v>#N/A</v>
      </c>
      <c r="AZ91" s="53"/>
      <c r="BA91" s="56"/>
      <c r="BB91" s="56"/>
      <c r="BC91" s="83" t="e">
        <f>ROUND(AZ91*(HLOOKUP(AZ$7,$D$9:$G91,ROW()-8,0)+BC$8),0)+ROUND(BB91*BC$8,0)</f>
        <v>#N/A</v>
      </c>
      <c r="BD91" s="53"/>
      <c r="BE91" s="56"/>
      <c r="BF91" s="56"/>
      <c r="BG91" s="83" t="e">
        <f>ROUND(BD91*(HLOOKUP(BD$7,$D$9:$G91,ROW()-8,0)+BG$8),0)+ROUND(BF91*BG$8,0)</f>
        <v>#N/A</v>
      </c>
      <c r="BH91" s="53"/>
      <c r="BI91" s="56"/>
      <c r="BJ91" s="56"/>
      <c r="BK91" s="83" t="e">
        <f>ROUND(BH91*(HLOOKUP(BH$7,$D$9:$G91,ROW()-8,0)+BK$8),0)+ROUND(BJ91*BK$8,0)</f>
        <v>#N/A</v>
      </c>
      <c r="BL91" s="53"/>
      <c r="BM91" s="56"/>
      <c r="BN91" s="56"/>
      <c r="BO91" s="83" t="e">
        <f>ROUND(BL91*(HLOOKUP(BL$7,$D$9:$G91,ROW()-8,0)+BO$8),0)+ROUND(BN91*BO$8,0)</f>
        <v>#N/A</v>
      </c>
      <c r="BP91" s="53"/>
      <c r="BQ91" s="56"/>
      <c r="BR91" s="56"/>
      <c r="BS91" s="83" t="e">
        <f>ROUND(BP91*(HLOOKUP(BP$7,$D$9:$G91,ROW()-8,0)+BS$8),0)+ROUND(BR91*BS$8,0)</f>
        <v>#N/A</v>
      </c>
      <c r="BT91" s="54">
        <f t="shared" si="4"/>
        <v>0</v>
      </c>
      <c r="BU91" s="54">
        <f t="shared" si="4"/>
        <v>0</v>
      </c>
      <c r="BV91" s="54">
        <f t="shared" si="4"/>
        <v>0</v>
      </c>
      <c r="BW91" s="54">
        <f t="shared" si="4"/>
        <v>0</v>
      </c>
      <c r="BX91" s="63"/>
      <c r="BY91" s="107"/>
      <c r="BZ91" s="57" t="e">
        <f t="shared" si="3"/>
        <v>#DIV/0!</v>
      </c>
    </row>
    <row r="92" spans="3:78" ht="17.25">
      <c r="C92" s="64"/>
      <c r="D92" s="105"/>
      <c r="E92" s="106"/>
      <c r="F92" s="106"/>
      <c r="G92" s="110"/>
      <c r="H92" s="95"/>
      <c r="I92" s="56"/>
      <c r="J92" s="56"/>
      <c r="K92" s="83" t="e">
        <f>ROUND(H92*(HLOOKUP(H$7,$D$9:$G92,ROW()-8,0)+K$8),0)+ROUND(J92*K$8,0)</f>
        <v>#N/A</v>
      </c>
      <c r="L92" s="53"/>
      <c r="M92" s="56"/>
      <c r="N92" s="56"/>
      <c r="O92" s="83" t="e">
        <f>ROUND(L92*(HLOOKUP(L$7,$D$9:$G92,ROW()-8,0)+O$8),0)+ROUND(N92*O$8,0)</f>
        <v>#N/A</v>
      </c>
      <c r="P92" s="53"/>
      <c r="Q92" s="56"/>
      <c r="R92" s="56"/>
      <c r="S92" s="83" t="e">
        <f>ROUND(P92*(HLOOKUP(P$7,$D$9:$G92,ROW()-8,0)+S$8),0)+ROUND(R92*S$8,0)</f>
        <v>#N/A</v>
      </c>
      <c r="T92" s="53"/>
      <c r="U92" s="56"/>
      <c r="V92" s="56"/>
      <c r="W92" s="83" t="e">
        <f>ROUND(T92*(HLOOKUP(T$7,$D$9:$G92,ROW()-8,0)+W$8),0)+ROUND(V92*W$8,0)</f>
        <v>#N/A</v>
      </c>
      <c r="X92" s="53"/>
      <c r="Y92" s="56"/>
      <c r="Z92" s="56"/>
      <c r="AA92" s="83" t="e">
        <f>ROUND(X92*(HLOOKUP(X$7,$D$9:$G92,ROW()-8,0)+AA$8),0)+ROUND(Z92*AA$8,0)</f>
        <v>#N/A</v>
      </c>
      <c r="AB92" s="53"/>
      <c r="AC92" s="56"/>
      <c r="AD92" s="56"/>
      <c r="AE92" s="83" t="e">
        <f>ROUND(AB92*(HLOOKUP(AB$7,$D$9:$G92,ROW()-8,0)+AE$8),0)+ROUND(AD92*AE$8,0)</f>
        <v>#N/A</v>
      </c>
      <c r="AF92" s="53"/>
      <c r="AG92" s="56"/>
      <c r="AH92" s="56"/>
      <c r="AI92" s="83" t="e">
        <f>ROUND(AF92*(HLOOKUP(AF$7,$D$9:$G92,ROW()-8,0)+AI$8),0)+ROUND(AH92*AI$8,0)</f>
        <v>#N/A</v>
      </c>
      <c r="AJ92" s="53"/>
      <c r="AK92" s="56"/>
      <c r="AL92" s="56"/>
      <c r="AM92" s="83" t="e">
        <f>ROUND(AJ92*(HLOOKUP(AJ$7,$D$9:$G92,ROW()-8,0)+AM$8),0)+ROUND(AL92*AM$8,0)</f>
        <v>#N/A</v>
      </c>
      <c r="AN92" s="53"/>
      <c r="AO92" s="56"/>
      <c r="AP92" s="56"/>
      <c r="AQ92" s="83" t="e">
        <f>ROUND(AN92*(HLOOKUP(AN$7,$D$9:$G92,ROW()-8,0)+AQ$8),0)+ROUND(AP92*AQ$8,0)</f>
        <v>#N/A</v>
      </c>
      <c r="AR92" s="53"/>
      <c r="AS92" s="56"/>
      <c r="AT92" s="56"/>
      <c r="AU92" s="83" t="e">
        <f>ROUND(AR92*(HLOOKUP(AR$7,$D$9:$G92,ROW()-8,0)+AU$8),0)+ROUND(AT92*AU$8,0)</f>
        <v>#N/A</v>
      </c>
      <c r="AV92" s="53"/>
      <c r="AW92" s="56"/>
      <c r="AX92" s="56"/>
      <c r="AY92" s="83" t="e">
        <f>ROUND(AV92*(HLOOKUP(AV$7,$D$9:$G92,ROW()-8,0)+AY$8),0)+ROUND(AX92*AY$8,0)</f>
        <v>#N/A</v>
      </c>
      <c r="AZ92" s="53"/>
      <c r="BA92" s="56"/>
      <c r="BB92" s="56"/>
      <c r="BC92" s="83" t="e">
        <f>ROUND(AZ92*(HLOOKUP(AZ$7,$D$9:$G92,ROW()-8,0)+BC$8),0)+ROUND(BB92*BC$8,0)</f>
        <v>#N/A</v>
      </c>
      <c r="BD92" s="53"/>
      <c r="BE92" s="56"/>
      <c r="BF92" s="56"/>
      <c r="BG92" s="83" t="e">
        <f>ROUND(BD92*(HLOOKUP(BD$7,$D$9:$G92,ROW()-8,0)+BG$8),0)+ROUND(BF92*BG$8,0)</f>
        <v>#N/A</v>
      </c>
      <c r="BH92" s="53"/>
      <c r="BI92" s="56"/>
      <c r="BJ92" s="56"/>
      <c r="BK92" s="83" t="e">
        <f>ROUND(BH92*(HLOOKUP(BH$7,$D$9:$G92,ROW()-8,0)+BK$8),0)+ROUND(BJ92*BK$8,0)</f>
        <v>#N/A</v>
      </c>
      <c r="BL92" s="53"/>
      <c r="BM92" s="56"/>
      <c r="BN92" s="56"/>
      <c r="BO92" s="83" t="e">
        <f>ROUND(BL92*(HLOOKUP(BL$7,$D$9:$G92,ROW()-8,0)+BO$8),0)+ROUND(BN92*BO$8,0)</f>
        <v>#N/A</v>
      </c>
      <c r="BP92" s="53"/>
      <c r="BQ92" s="56"/>
      <c r="BR92" s="56"/>
      <c r="BS92" s="83" t="e">
        <f>ROUND(BP92*(HLOOKUP(BP$7,$D$9:$G92,ROW()-8,0)+BS$8),0)+ROUND(BR92*BS$8,0)</f>
        <v>#N/A</v>
      </c>
      <c r="BT92" s="54">
        <f t="shared" si="4"/>
        <v>0</v>
      </c>
      <c r="BU92" s="54">
        <f t="shared" si="4"/>
        <v>0</v>
      </c>
      <c r="BV92" s="54">
        <f t="shared" si="4"/>
        <v>0</v>
      </c>
      <c r="BW92" s="54">
        <f t="shared" si="4"/>
        <v>0</v>
      </c>
      <c r="BX92" s="63"/>
      <c r="BY92" s="107"/>
      <c r="BZ92" s="57" t="e">
        <f t="shared" si="3"/>
        <v>#DIV/0!</v>
      </c>
    </row>
    <row r="93" spans="3:78" ht="17.25">
      <c r="C93" s="64"/>
      <c r="D93" s="105"/>
      <c r="E93" s="106"/>
      <c r="F93" s="106"/>
      <c r="G93" s="110"/>
      <c r="H93" s="95"/>
      <c r="I93" s="56"/>
      <c r="J93" s="56"/>
      <c r="K93" s="83" t="e">
        <f>ROUND(H93*(HLOOKUP(H$7,$D$9:$G93,ROW()-8,0)+K$8),0)+ROUND(J93*K$8,0)</f>
        <v>#N/A</v>
      </c>
      <c r="L93" s="53"/>
      <c r="M93" s="56"/>
      <c r="N93" s="56"/>
      <c r="O93" s="83" t="e">
        <f>ROUND(L93*(HLOOKUP(L$7,$D$9:$G93,ROW()-8,0)+O$8),0)+ROUND(N93*O$8,0)</f>
        <v>#N/A</v>
      </c>
      <c r="P93" s="53"/>
      <c r="Q93" s="56"/>
      <c r="R93" s="56"/>
      <c r="S93" s="83" t="e">
        <f>ROUND(P93*(HLOOKUP(P$7,$D$9:$G93,ROW()-8,0)+S$8),0)+ROUND(R93*S$8,0)</f>
        <v>#N/A</v>
      </c>
      <c r="T93" s="53"/>
      <c r="U93" s="56"/>
      <c r="V93" s="56"/>
      <c r="W93" s="83" t="e">
        <f>ROUND(T93*(HLOOKUP(T$7,$D$9:$G93,ROW()-8,0)+W$8),0)+ROUND(V93*W$8,0)</f>
        <v>#N/A</v>
      </c>
      <c r="X93" s="53"/>
      <c r="Y93" s="56"/>
      <c r="Z93" s="56"/>
      <c r="AA93" s="83" t="e">
        <f>ROUND(X93*(HLOOKUP(X$7,$D$9:$G93,ROW()-8,0)+AA$8),0)+ROUND(Z93*AA$8,0)</f>
        <v>#N/A</v>
      </c>
      <c r="AB93" s="53"/>
      <c r="AC93" s="56"/>
      <c r="AD93" s="56"/>
      <c r="AE93" s="83" t="e">
        <f>ROUND(AB93*(HLOOKUP(AB$7,$D$9:$G93,ROW()-8,0)+AE$8),0)+ROUND(AD93*AE$8,0)</f>
        <v>#N/A</v>
      </c>
      <c r="AF93" s="53"/>
      <c r="AG93" s="56"/>
      <c r="AH93" s="56"/>
      <c r="AI93" s="83" t="e">
        <f>ROUND(AF93*(HLOOKUP(AF$7,$D$9:$G93,ROW()-8,0)+AI$8),0)+ROUND(AH93*AI$8,0)</f>
        <v>#N/A</v>
      </c>
      <c r="AJ93" s="53"/>
      <c r="AK93" s="56"/>
      <c r="AL93" s="56"/>
      <c r="AM93" s="83" t="e">
        <f>ROUND(AJ93*(HLOOKUP(AJ$7,$D$9:$G93,ROW()-8,0)+AM$8),0)+ROUND(AL93*AM$8,0)</f>
        <v>#N/A</v>
      </c>
      <c r="AN93" s="53"/>
      <c r="AO93" s="56"/>
      <c r="AP93" s="56"/>
      <c r="AQ93" s="83" t="e">
        <f>ROUND(AN93*(HLOOKUP(AN$7,$D$9:$G93,ROW()-8,0)+AQ$8),0)+ROUND(AP93*AQ$8,0)</f>
        <v>#N/A</v>
      </c>
      <c r="AR93" s="53"/>
      <c r="AS93" s="56"/>
      <c r="AT93" s="56"/>
      <c r="AU93" s="83" t="e">
        <f>ROUND(AR93*(HLOOKUP(AR$7,$D$9:$G93,ROW()-8,0)+AU$8),0)+ROUND(AT93*AU$8,0)</f>
        <v>#N/A</v>
      </c>
      <c r="AV93" s="53"/>
      <c r="AW93" s="56"/>
      <c r="AX93" s="56"/>
      <c r="AY93" s="83" t="e">
        <f>ROUND(AV93*(HLOOKUP(AV$7,$D$9:$G93,ROW()-8,0)+AY$8),0)+ROUND(AX93*AY$8,0)</f>
        <v>#N/A</v>
      </c>
      <c r="AZ93" s="53"/>
      <c r="BA93" s="56"/>
      <c r="BB93" s="56"/>
      <c r="BC93" s="83" t="e">
        <f>ROUND(AZ93*(HLOOKUP(AZ$7,$D$9:$G93,ROW()-8,0)+BC$8),0)+ROUND(BB93*BC$8,0)</f>
        <v>#N/A</v>
      </c>
      <c r="BD93" s="53"/>
      <c r="BE93" s="56"/>
      <c r="BF93" s="56"/>
      <c r="BG93" s="83" t="e">
        <f>ROUND(BD93*(HLOOKUP(BD$7,$D$9:$G93,ROW()-8,0)+BG$8),0)+ROUND(BF93*BG$8,0)</f>
        <v>#N/A</v>
      </c>
      <c r="BH93" s="53"/>
      <c r="BI93" s="56"/>
      <c r="BJ93" s="56"/>
      <c r="BK93" s="83" t="e">
        <f>ROUND(BH93*(HLOOKUP(BH$7,$D$9:$G93,ROW()-8,0)+BK$8),0)+ROUND(BJ93*BK$8,0)</f>
        <v>#N/A</v>
      </c>
      <c r="BL93" s="53"/>
      <c r="BM93" s="56"/>
      <c r="BN93" s="56"/>
      <c r="BO93" s="83" t="e">
        <f>ROUND(BL93*(HLOOKUP(BL$7,$D$9:$G93,ROW()-8,0)+BO$8),0)+ROUND(BN93*BO$8,0)</f>
        <v>#N/A</v>
      </c>
      <c r="BP93" s="53"/>
      <c r="BQ93" s="56"/>
      <c r="BR93" s="56"/>
      <c r="BS93" s="83" t="e">
        <f>ROUND(BP93*(HLOOKUP(BP$7,$D$9:$G93,ROW()-8,0)+BS$8),0)+ROUND(BR93*BS$8,0)</f>
        <v>#N/A</v>
      </c>
      <c r="BT93" s="54">
        <f t="shared" si="4"/>
        <v>0</v>
      </c>
      <c r="BU93" s="54">
        <f t="shared" si="4"/>
        <v>0</v>
      </c>
      <c r="BV93" s="54">
        <f t="shared" si="4"/>
        <v>0</v>
      </c>
      <c r="BW93" s="54">
        <f t="shared" si="4"/>
        <v>0</v>
      </c>
      <c r="BX93" s="63"/>
      <c r="BY93" s="107"/>
      <c r="BZ93" s="57" t="e">
        <f t="shared" si="3"/>
        <v>#DIV/0!</v>
      </c>
    </row>
    <row r="94" spans="3:78" ht="17.25">
      <c r="C94" s="64"/>
      <c r="D94" s="105"/>
      <c r="E94" s="106"/>
      <c r="F94" s="106"/>
      <c r="G94" s="110"/>
      <c r="H94" s="95"/>
      <c r="I94" s="56"/>
      <c r="J94" s="56"/>
      <c r="K94" s="83" t="e">
        <f>ROUND(H94*(HLOOKUP(H$7,$D$9:$G94,ROW()-8,0)+K$8),0)+ROUND(J94*K$8,0)</f>
        <v>#N/A</v>
      </c>
      <c r="L94" s="53"/>
      <c r="M94" s="56"/>
      <c r="N94" s="56"/>
      <c r="O94" s="83" t="e">
        <f>ROUND(L94*(HLOOKUP(L$7,$D$9:$G94,ROW()-8,0)+O$8),0)+ROUND(N94*O$8,0)</f>
        <v>#N/A</v>
      </c>
      <c r="P94" s="53"/>
      <c r="Q94" s="56"/>
      <c r="R94" s="56"/>
      <c r="S94" s="83" t="e">
        <f>ROUND(P94*(HLOOKUP(P$7,$D$9:$G94,ROW()-8,0)+S$8),0)+ROUND(R94*S$8,0)</f>
        <v>#N/A</v>
      </c>
      <c r="T94" s="53"/>
      <c r="U94" s="56"/>
      <c r="V94" s="56"/>
      <c r="W94" s="83" t="e">
        <f>ROUND(T94*(HLOOKUP(T$7,$D$9:$G94,ROW()-8,0)+W$8),0)+ROUND(V94*W$8,0)</f>
        <v>#N/A</v>
      </c>
      <c r="X94" s="53"/>
      <c r="Y94" s="56"/>
      <c r="Z94" s="56"/>
      <c r="AA94" s="83" t="e">
        <f>ROUND(X94*(HLOOKUP(X$7,$D$9:$G94,ROW()-8,0)+AA$8),0)+ROUND(Z94*AA$8,0)</f>
        <v>#N/A</v>
      </c>
      <c r="AB94" s="53"/>
      <c r="AC94" s="56"/>
      <c r="AD94" s="56"/>
      <c r="AE94" s="83" t="e">
        <f>ROUND(AB94*(HLOOKUP(AB$7,$D$9:$G94,ROW()-8,0)+AE$8),0)+ROUND(AD94*AE$8,0)</f>
        <v>#N/A</v>
      </c>
      <c r="AF94" s="53"/>
      <c r="AG94" s="56"/>
      <c r="AH94" s="56"/>
      <c r="AI94" s="83" t="e">
        <f>ROUND(AF94*(HLOOKUP(AF$7,$D$9:$G94,ROW()-8,0)+AI$8),0)+ROUND(AH94*AI$8,0)</f>
        <v>#N/A</v>
      </c>
      <c r="AJ94" s="53"/>
      <c r="AK94" s="56"/>
      <c r="AL94" s="56"/>
      <c r="AM94" s="83" t="e">
        <f>ROUND(AJ94*(HLOOKUP(AJ$7,$D$9:$G94,ROW()-8,0)+AM$8),0)+ROUND(AL94*AM$8,0)</f>
        <v>#N/A</v>
      </c>
      <c r="AN94" s="53"/>
      <c r="AO94" s="56"/>
      <c r="AP94" s="56"/>
      <c r="AQ94" s="83" t="e">
        <f>ROUND(AN94*(HLOOKUP(AN$7,$D$9:$G94,ROW()-8,0)+AQ$8),0)+ROUND(AP94*AQ$8,0)</f>
        <v>#N/A</v>
      </c>
      <c r="AR94" s="53"/>
      <c r="AS94" s="56"/>
      <c r="AT94" s="56"/>
      <c r="AU94" s="83" t="e">
        <f>ROUND(AR94*(HLOOKUP(AR$7,$D$9:$G94,ROW()-8,0)+AU$8),0)+ROUND(AT94*AU$8,0)</f>
        <v>#N/A</v>
      </c>
      <c r="AV94" s="53"/>
      <c r="AW94" s="56"/>
      <c r="AX94" s="56"/>
      <c r="AY94" s="83" t="e">
        <f>ROUND(AV94*(HLOOKUP(AV$7,$D$9:$G94,ROW()-8,0)+AY$8),0)+ROUND(AX94*AY$8,0)</f>
        <v>#N/A</v>
      </c>
      <c r="AZ94" s="53"/>
      <c r="BA94" s="56"/>
      <c r="BB94" s="56"/>
      <c r="BC94" s="83" t="e">
        <f>ROUND(AZ94*(HLOOKUP(AZ$7,$D$9:$G94,ROW()-8,0)+BC$8),0)+ROUND(BB94*BC$8,0)</f>
        <v>#N/A</v>
      </c>
      <c r="BD94" s="53"/>
      <c r="BE94" s="56"/>
      <c r="BF94" s="56"/>
      <c r="BG94" s="83" t="e">
        <f>ROUND(BD94*(HLOOKUP(BD$7,$D$9:$G94,ROW()-8,0)+BG$8),0)+ROUND(BF94*BG$8,0)</f>
        <v>#N/A</v>
      </c>
      <c r="BH94" s="53"/>
      <c r="BI94" s="56"/>
      <c r="BJ94" s="56"/>
      <c r="BK94" s="83" t="e">
        <f>ROUND(BH94*(HLOOKUP(BH$7,$D$9:$G94,ROW()-8,0)+BK$8),0)+ROUND(BJ94*BK$8,0)</f>
        <v>#N/A</v>
      </c>
      <c r="BL94" s="53"/>
      <c r="BM94" s="56"/>
      <c r="BN94" s="56"/>
      <c r="BO94" s="83" t="e">
        <f>ROUND(BL94*(HLOOKUP(BL$7,$D$9:$G94,ROW()-8,0)+BO$8),0)+ROUND(BN94*BO$8,0)</f>
        <v>#N/A</v>
      </c>
      <c r="BP94" s="53"/>
      <c r="BQ94" s="56"/>
      <c r="BR94" s="56"/>
      <c r="BS94" s="83" t="e">
        <f>ROUND(BP94*(HLOOKUP(BP$7,$D$9:$G94,ROW()-8,0)+BS$8),0)+ROUND(BR94*BS$8,0)</f>
        <v>#N/A</v>
      </c>
      <c r="BT94" s="54">
        <f t="shared" si="4"/>
        <v>0</v>
      </c>
      <c r="BU94" s="54">
        <f t="shared" si="4"/>
        <v>0</v>
      </c>
      <c r="BV94" s="54">
        <f t="shared" si="4"/>
        <v>0</v>
      </c>
      <c r="BW94" s="54">
        <f t="shared" si="4"/>
        <v>0</v>
      </c>
      <c r="BX94" s="63"/>
      <c r="BY94" s="107"/>
      <c r="BZ94" s="57" t="e">
        <f t="shared" si="3"/>
        <v>#DIV/0!</v>
      </c>
    </row>
    <row r="95" spans="3:78" ht="17.25">
      <c r="C95" s="64"/>
      <c r="D95" s="105"/>
      <c r="E95" s="106"/>
      <c r="F95" s="106"/>
      <c r="G95" s="110"/>
      <c r="H95" s="95"/>
      <c r="I95" s="56"/>
      <c r="J95" s="56"/>
      <c r="K95" s="83" t="e">
        <f>ROUND(H95*(HLOOKUP(H$7,$D$9:$G95,ROW()-8,0)+K$8),0)+ROUND(J95*K$8,0)</f>
        <v>#N/A</v>
      </c>
      <c r="L95" s="53"/>
      <c r="M95" s="56"/>
      <c r="N95" s="56"/>
      <c r="O95" s="83" t="e">
        <f>ROUND(L95*(HLOOKUP(L$7,$D$9:$G95,ROW()-8,0)+O$8),0)+ROUND(N95*O$8,0)</f>
        <v>#N/A</v>
      </c>
      <c r="P95" s="53"/>
      <c r="Q95" s="56"/>
      <c r="R95" s="56"/>
      <c r="S95" s="83" t="e">
        <f>ROUND(P95*(HLOOKUP(P$7,$D$9:$G95,ROW()-8,0)+S$8),0)+ROUND(R95*S$8,0)</f>
        <v>#N/A</v>
      </c>
      <c r="T95" s="53"/>
      <c r="U95" s="56"/>
      <c r="V95" s="56"/>
      <c r="W95" s="83" t="e">
        <f>ROUND(T95*(HLOOKUP(T$7,$D$9:$G95,ROW()-8,0)+W$8),0)+ROUND(V95*W$8,0)</f>
        <v>#N/A</v>
      </c>
      <c r="X95" s="53"/>
      <c r="Y95" s="56"/>
      <c r="Z95" s="56"/>
      <c r="AA95" s="83" t="e">
        <f>ROUND(X95*(HLOOKUP(X$7,$D$9:$G95,ROW()-8,0)+AA$8),0)+ROUND(Z95*AA$8,0)</f>
        <v>#N/A</v>
      </c>
      <c r="AB95" s="53"/>
      <c r="AC95" s="56"/>
      <c r="AD95" s="56"/>
      <c r="AE95" s="83" t="e">
        <f>ROUND(AB95*(HLOOKUP(AB$7,$D$9:$G95,ROW()-8,0)+AE$8),0)+ROUND(AD95*AE$8,0)</f>
        <v>#N/A</v>
      </c>
      <c r="AF95" s="53"/>
      <c r="AG95" s="56"/>
      <c r="AH95" s="56"/>
      <c r="AI95" s="83" t="e">
        <f>ROUND(AF95*(HLOOKUP(AF$7,$D$9:$G95,ROW()-8,0)+AI$8),0)+ROUND(AH95*AI$8,0)</f>
        <v>#N/A</v>
      </c>
      <c r="AJ95" s="53"/>
      <c r="AK95" s="56"/>
      <c r="AL95" s="56"/>
      <c r="AM95" s="83" t="e">
        <f>ROUND(AJ95*(HLOOKUP(AJ$7,$D$9:$G95,ROW()-8,0)+AM$8),0)+ROUND(AL95*AM$8,0)</f>
        <v>#N/A</v>
      </c>
      <c r="AN95" s="53"/>
      <c r="AO95" s="56"/>
      <c r="AP95" s="56"/>
      <c r="AQ95" s="83" t="e">
        <f>ROUND(AN95*(HLOOKUP(AN$7,$D$9:$G95,ROW()-8,0)+AQ$8),0)+ROUND(AP95*AQ$8,0)</f>
        <v>#N/A</v>
      </c>
      <c r="AR95" s="53"/>
      <c r="AS95" s="56"/>
      <c r="AT95" s="56"/>
      <c r="AU95" s="83" t="e">
        <f>ROUND(AR95*(HLOOKUP(AR$7,$D$9:$G95,ROW()-8,0)+AU$8),0)+ROUND(AT95*AU$8,0)</f>
        <v>#N/A</v>
      </c>
      <c r="AV95" s="53"/>
      <c r="AW95" s="56"/>
      <c r="AX95" s="56"/>
      <c r="AY95" s="83" t="e">
        <f>ROUND(AV95*(HLOOKUP(AV$7,$D$9:$G95,ROW()-8,0)+AY$8),0)+ROUND(AX95*AY$8,0)</f>
        <v>#N/A</v>
      </c>
      <c r="AZ95" s="53"/>
      <c r="BA95" s="56"/>
      <c r="BB95" s="56"/>
      <c r="BC95" s="83" t="e">
        <f>ROUND(AZ95*(HLOOKUP(AZ$7,$D$9:$G95,ROW()-8,0)+BC$8),0)+ROUND(BB95*BC$8,0)</f>
        <v>#N/A</v>
      </c>
      <c r="BD95" s="53"/>
      <c r="BE95" s="56"/>
      <c r="BF95" s="56"/>
      <c r="BG95" s="83" t="e">
        <f>ROUND(BD95*(HLOOKUP(BD$7,$D$9:$G95,ROW()-8,0)+BG$8),0)+ROUND(BF95*BG$8,0)</f>
        <v>#N/A</v>
      </c>
      <c r="BH95" s="53"/>
      <c r="BI95" s="56"/>
      <c r="BJ95" s="56"/>
      <c r="BK95" s="83" t="e">
        <f>ROUND(BH95*(HLOOKUP(BH$7,$D$9:$G95,ROW()-8,0)+BK$8),0)+ROUND(BJ95*BK$8,0)</f>
        <v>#N/A</v>
      </c>
      <c r="BL95" s="53"/>
      <c r="BM95" s="56"/>
      <c r="BN95" s="56"/>
      <c r="BO95" s="83" t="e">
        <f>ROUND(BL95*(HLOOKUP(BL$7,$D$9:$G95,ROW()-8,0)+BO$8),0)+ROUND(BN95*BO$8,0)</f>
        <v>#N/A</v>
      </c>
      <c r="BP95" s="53"/>
      <c r="BQ95" s="56"/>
      <c r="BR95" s="56"/>
      <c r="BS95" s="83" t="e">
        <f>ROUND(BP95*(HLOOKUP(BP$7,$D$9:$G95,ROW()-8,0)+BS$8),0)+ROUND(BR95*BS$8,0)</f>
        <v>#N/A</v>
      </c>
      <c r="BT95" s="54">
        <f t="shared" si="4"/>
        <v>0</v>
      </c>
      <c r="BU95" s="54">
        <f t="shared" si="4"/>
        <v>0</v>
      </c>
      <c r="BV95" s="54">
        <f t="shared" si="4"/>
        <v>0</v>
      </c>
      <c r="BW95" s="54">
        <f t="shared" si="4"/>
        <v>0</v>
      </c>
      <c r="BX95" s="63"/>
      <c r="BY95" s="107"/>
      <c r="BZ95" s="57" t="e">
        <f t="shared" ref="BZ95" si="5">+BX95/BY95</f>
        <v>#DIV/0!</v>
      </c>
    </row>
    <row r="96" spans="3:78" ht="17.25">
      <c r="C96" s="64"/>
      <c r="D96" s="105"/>
      <c r="E96" s="106"/>
      <c r="F96" s="106"/>
      <c r="G96" s="110"/>
      <c r="H96" s="95"/>
      <c r="I96" s="56"/>
      <c r="J96" s="56"/>
      <c r="K96" s="83" t="e">
        <f>ROUND(H96*(HLOOKUP(H$7,$D$9:$G96,ROW()-8,0)+K$8),0)+ROUND(J96*K$8,0)</f>
        <v>#N/A</v>
      </c>
      <c r="L96" s="53"/>
      <c r="M96" s="56"/>
      <c r="N96" s="56"/>
      <c r="O96" s="83" t="e">
        <f>ROUND(L96*(HLOOKUP(L$7,$D$9:$G96,ROW()-8,0)+O$8),0)+ROUND(N96*O$8,0)</f>
        <v>#N/A</v>
      </c>
      <c r="P96" s="53"/>
      <c r="Q96" s="56"/>
      <c r="R96" s="56"/>
      <c r="S96" s="83" t="e">
        <f>ROUND(P96*(HLOOKUP(P$7,$D$9:$G96,ROW()-8,0)+S$8),0)+ROUND(R96*S$8,0)</f>
        <v>#N/A</v>
      </c>
      <c r="T96" s="53"/>
      <c r="U96" s="56"/>
      <c r="V96" s="56"/>
      <c r="W96" s="83" t="e">
        <f>ROUND(T96*(HLOOKUP(T$7,$D$9:$G96,ROW()-8,0)+W$8),0)+ROUND(V96*W$8,0)</f>
        <v>#N/A</v>
      </c>
      <c r="X96" s="53"/>
      <c r="Y96" s="56"/>
      <c r="Z96" s="56"/>
      <c r="AA96" s="83" t="e">
        <f>ROUND(X96*(HLOOKUP(X$7,$D$9:$G96,ROW()-8,0)+AA$8),0)+ROUND(Z96*AA$8,0)</f>
        <v>#N/A</v>
      </c>
      <c r="AB96" s="53"/>
      <c r="AC96" s="56"/>
      <c r="AD96" s="56"/>
      <c r="AE96" s="83" t="e">
        <f>ROUND(AB96*(HLOOKUP(AB$7,$D$9:$G96,ROW()-8,0)+AE$8),0)+ROUND(AD96*AE$8,0)</f>
        <v>#N/A</v>
      </c>
      <c r="AF96" s="53"/>
      <c r="AG96" s="56"/>
      <c r="AH96" s="56"/>
      <c r="AI96" s="83" t="e">
        <f>ROUND(AF96*(HLOOKUP(AF$7,$D$9:$G96,ROW()-8,0)+AI$8),0)+ROUND(AH96*AI$8,0)</f>
        <v>#N/A</v>
      </c>
      <c r="AJ96" s="53"/>
      <c r="AK96" s="56"/>
      <c r="AL96" s="56"/>
      <c r="AM96" s="83" t="e">
        <f>ROUND(AJ96*(HLOOKUP(AJ$7,$D$9:$G96,ROW()-8,0)+AM$8),0)+ROUND(AL96*AM$8,0)</f>
        <v>#N/A</v>
      </c>
      <c r="AN96" s="53"/>
      <c r="AO96" s="56"/>
      <c r="AP96" s="56"/>
      <c r="AQ96" s="83" t="e">
        <f>ROUND(AN96*(HLOOKUP(AN$7,$D$9:$G96,ROW()-8,0)+AQ$8),0)+ROUND(AP96*AQ$8,0)</f>
        <v>#N/A</v>
      </c>
      <c r="AR96" s="53"/>
      <c r="AS96" s="56"/>
      <c r="AT96" s="56"/>
      <c r="AU96" s="83" t="e">
        <f>ROUND(AR96*(HLOOKUP(AR$7,$D$9:$G96,ROW()-8,0)+AU$8),0)+ROUND(AT96*AU$8,0)</f>
        <v>#N/A</v>
      </c>
      <c r="AV96" s="53"/>
      <c r="AW96" s="56"/>
      <c r="AX96" s="56"/>
      <c r="AY96" s="83" t="e">
        <f>ROUND(AV96*(HLOOKUP(AV$7,$D$9:$G96,ROW()-8,0)+AY$8),0)+ROUND(AX96*AY$8,0)</f>
        <v>#N/A</v>
      </c>
      <c r="AZ96" s="53"/>
      <c r="BA96" s="56"/>
      <c r="BB96" s="56"/>
      <c r="BC96" s="83" t="e">
        <f>ROUND(AZ96*(HLOOKUP(AZ$7,$D$9:$G96,ROW()-8,0)+BC$8),0)+ROUND(BB96*BC$8,0)</f>
        <v>#N/A</v>
      </c>
      <c r="BD96" s="53"/>
      <c r="BE96" s="56"/>
      <c r="BF96" s="56"/>
      <c r="BG96" s="83" t="e">
        <f>ROUND(BD96*(HLOOKUP(BD$7,$D$9:$G96,ROW()-8,0)+BG$8),0)+ROUND(BF96*BG$8,0)</f>
        <v>#N/A</v>
      </c>
      <c r="BH96" s="53"/>
      <c r="BI96" s="56"/>
      <c r="BJ96" s="56"/>
      <c r="BK96" s="83" t="e">
        <f>ROUND(BH96*(HLOOKUP(BH$7,$D$9:$G96,ROW()-8,0)+BK$8),0)+ROUND(BJ96*BK$8,0)</f>
        <v>#N/A</v>
      </c>
      <c r="BL96" s="53"/>
      <c r="BM96" s="56"/>
      <c r="BN96" s="56"/>
      <c r="BO96" s="83" t="e">
        <f>ROUND(BL96*(HLOOKUP(BL$7,$D$9:$G96,ROW()-8,0)+BO$8),0)+ROUND(BN96*BO$8,0)</f>
        <v>#N/A</v>
      </c>
      <c r="BP96" s="53"/>
      <c r="BQ96" s="56"/>
      <c r="BR96" s="56"/>
      <c r="BS96" s="83" t="e">
        <f>ROUND(BP96*(HLOOKUP(BP$7,$D$9:$G96,ROW()-8,0)+BS$8),0)+ROUND(BR96*BS$8,0)</f>
        <v>#N/A</v>
      </c>
      <c r="BT96" s="54">
        <f t="shared" si="4"/>
        <v>0</v>
      </c>
      <c r="BU96" s="54">
        <f t="shared" si="4"/>
        <v>0</v>
      </c>
      <c r="BV96" s="54">
        <f t="shared" si="4"/>
        <v>0</v>
      </c>
      <c r="BW96" s="54">
        <f t="shared" si="4"/>
        <v>0</v>
      </c>
      <c r="BX96" s="63"/>
      <c r="BY96" s="107"/>
      <c r="BZ96" s="57" t="e">
        <f t="shared" si="3"/>
        <v>#DIV/0!</v>
      </c>
    </row>
    <row r="97" spans="2:78" ht="17.25">
      <c r="C97" s="64"/>
      <c r="D97" s="105"/>
      <c r="E97" s="106"/>
      <c r="F97" s="106"/>
      <c r="G97" s="110"/>
      <c r="H97" s="95"/>
      <c r="I97" s="56"/>
      <c r="J97" s="56"/>
      <c r="K97" s="83" t="e">
        <f>ROUND(H97*(HLOOKUP(H$7,$D$9:$G97,ROW()-8,0)+K$8),0)+ROUND(J97*K$8,0)</f>
        <v>#N/A</v>
      </c>
      <c r="L97" s="53"/>
      <c r="M97" s="56"/>
      <c r="N97" s="56"/>
      <c r="O97" s="83" t="e">
        <f>ROUND(L97*(HLOOKUP(L$7,$D$9:$G97,ROW()-8,0)+O$8),0)+ROUND(N97*O$8,0)</f>
        <v>#N/A</v>
      </c>
      <c r="P97" s="53"/>
      <c r="Q97" s="56"/>
      <c r="R97" s="56"/>
      <c r="S97" s="83" t="e">
        <f>ROUND(P97*(HLOOKUP(P$7,$D$9:$G97,ROW()-8,0)+S$8),0)+ROUND(R97*S$8,0)</f>
        <v>#N/A</v>
      </c>
      <c r="T97" s="53"/>
      <c r="U97" s="56"/>
      <c r="V97" s="56"/>
      <c r="W97" s="83" t="e">
        <f>ROUND(T97*(HLOOKUP(T$7,$D$9:$G97,ROW()-8,0)+W$8),0)+ROUND(V97*W$8,0)</f>
        <v>#N/A</v>
      </c>
      <c r="X97" s="53"/>
      <c r="Y97" s="56"/>
      <c r="Z97" s="56"/>
      <c r="AA97" s="83" t="e">
        <f>ROUND(X97*(HLOOKUP(X$7,$D$9:$G97,ROW()-8,0)+AA$8),0)+ROUND(Z97*AA$8,0)</f>
        <v>#N/A</v>
      </c>
      <c r="AB97" s="53"/>
      <c r="AC97" s="56"/>
      <c r="AD97" s="56"/>
      <c r="AE97" s="83" t="e">
        <f>ROUND(AB97*(HLOOKUP(AB$7,$D$9:$G97,ROW()-8,0)+AE$8),0)+ROUND(AD97*AE$8,0)</f>
        <v>#N/A</v>
      </c>
      <c r="AF97" s="53"/>
      <c r="AG97" s="56"/>
      <c r="AH97" s="56"/>
      <c r="AI97" s="83" t="e">
        <f>ROUND(AF97*(HLOOKUP(AF$7,$D$9:$G97,ROW()-8,0)+AI$8),0)+ROUND(AH97*AI$8,0)</f>
        <v>#N/A</v>
      </c>
      <c r="AJ97" s="53"/>
      <c r="AK97" s="56"/>
      <c r="AL97" s="56"/>
      <c r="AM97" s="83" t="e">
        <f>ROUND(AJ97*(HLOOKUP(AJ$7,$D$9:$G97,ROW()-8,0)+AM$8),0)+ROUND(AL97*AM$8,0)</f>
        <v>#N/A</v>
      </c>
      <c r="AN97" s="53"/>
      <c r="AO97" s="56"/>
      <c r="AP97" s="56"/>
      <c r="AQ97" s="83" t="e">
        <f>ROUND(AN97*(HLOOKUP(AN$7,$D$9:$G97,ROW()-8,0)+AQ$8),0)+ROUND(AP97*AQ$8,0)</f>
        <v>#N/A</v>
      </c>
      <c r="AR97" s="53"/>
      <c r="AS97" s="56"/>
      <c r="AT97" s="56"/>
      <c r="AU97" s="83" t="e">
        <f>ROUND(AR97*(HLOOKUP(AR$7,$D$9:$G97,ROW()-8,0)+AU$8),0)+ROUND(AT97*AU$8,0)</f>
        <v>#N/A</v>
      </c>
      <c r="AV97" s="53"/>
      <c r="AW97" s="56"/>
      <c r="AX97" s="56"/>
      <c r="AY97" s="83" t="e">
        <f>ROUND(AV97*(HLOOKUP(AV$7,$D$9:$G97,ROW()-8,0)+AY$8),0)+ROUND(AX97*AY$8,0)</f>
        <v>#N/A</v>
      </c>
      <c r="AZ97" s="53"/>
      <c r="BA97" s="56"/>
      <c r="BB97" s="56"/>
      <c r="BC97" s="83" t="e">
        <f>ROUND(AZ97*(HLOOKUP(AZ$7,$D$9:$G97,ROW()-8,0)+BC$8),0)+ROUND(BB97*BC$8,0)</f>
        <v>#N/A</v>
      </c>
      <c r="BD97" s="53"/>
      <c r="BE97" s="56"/>
      <c r="BF97" s="56"/>
      <c r="BG97" s="83" t="e">
        <f>ROUND(BD97*(HLOOKUP(BD$7,$D$9:$G97,ROW()-8,0)+BG$8),0)+ROUND(BF97*BG$8,0)</f>
        <v>#N/A</v>
      </c>
      <c r="BH97" s="53"/>
      <c r="BI97" s="56"/>
      <c r="BJ97" s="56"/>
      <c r="BK97" s="83" t="e">
        <f>ROUND(BH97*(HLOOKUP(BH$7,$D$9:$G97,ROW()-8,0)+BK$8),0)+ROUND(BJ97*BK$8,0)</f>
        <v>#N/A</v>
      </c>
      <c r="BL97" s="53"/>
      <c r="BM97" s="56"/>
      <c r="BN97" s="56"/>
      <c r="BO97" s="83" t="e">
        <f>ROUND(BL97*(HLOOKUP(BL$7,$D$9:$G97,ROW()-8,0)+BO$8),0)+ROUND(BN97*BO$8,0)</f>
        <v>#N/A</v>
      </c>
      <c r="BP97" s="53"/>
      <c r="BQ97" s="56"/>
      <c r="BR97" s="56"/>
      <c r="BS97" s="83" t="e">
        <f>ROUND(BP97*(HLOOKUP(BP$7,$D$9:$G97,ROW()-8,0)+BS$8),0)+ROUND(BR97*BS$8,0)</f>
        <v>#N/A</v>
      </c>
      <c r="BT97" s="54">
        <f t="shared" si="4"/>
        <v>0</v>
      </c>
      <c r="BU97" s="54">
        <f t="shared" si="4"/>
        <v>0</v>
      </c>
      <c r="BV97" s="54">
        <f t="shared" si="4"/>
        <v>0</v>
      </c>
      <c r="BW97" s="54">
        <f t="shared" si="4"/>
        <v>0</v>
      </c>
      <c r="BX97" s="63"/>
      <c r="BY97" s="107"/>
      <c r="BZ97" s="57" t="e">
        <f t="shared" si="3"/>
        <v>#DIV/0!</v>
      </c>
    </row>
    <row r="98" spans="2:78" ht="17.25">
      <c r="C98" s="64"/>
      <c r="D98" s="105"/>
      <c r="E98" s="106"/>
      <c r="F98" s="106"/>
      <c r="G98" s="110"/>
      <c r="H98" s="95"/>
      <c r="I98" s="56"/>
      <c r="J98" s="56"/>
      <c r="K98" s="83" t="e">
        <f>ROUND(H98*(HLOOKUP(H$7,$D$9:$G98,ROW()-8,0)+K$8),0)+ROUND(J98*K$8,0)</f>
        <v>#N/A</v>
      </c>
      <c r="L98" s="53"/>
      <c r="M98" s="56"/>
      <c r="N98" s="56"/>
      <c r="O98" s="83" t="e">
        <f>ROUND(L98*(HLOOKUP(L$7,$D$9:$G98,ROW()-8,0)+O$8),0)+ROUND(N98*O$8,0)</f>
        <v>#N/A</v>
      </c>
      <c r="P98" s="53"/>
      <c r="Q98" s="56"/>
      <c r="R98" s="56"/>
      <c r="S98" s="83" t="e">
        <f>ROUND(P98*(HLOOKUP(P$7,$D$9:$G98,ROW()-8,0)+S$8),0)+ROUND(R98*S$8,0)</f>
        <v>#N/A</v>
      </c>
      <c r="T98" s="53"/>
      <c r="U98" s="56"/>
      <c r="V98" s="56"/>
      <c r="W98" s="83" t="e">
        <f>ROUND(T98*(HLOOKUP(T$7,$D$9:$G98,ROW()-8,0)+W$8),0)+ROUND(V98*W$8,0)</f>
        <v>#N/A</v>
      </c>
      <c r="X98" s="53"/>
      <c r="Y98" s="56"/>
      <c r="Z98" s="56"/>
      <c r="AA98" s="83" t="e">
        <f>ROUND(X98*(HLOOKUP(X$7,$D$9:$G98,ROW()-8,0)+AA$8),0)+ROUND(Z98*AA$8,0)</f>
        <v>#N/A</v>
      </c>
      <c r="AB98" s="53"/>
      <c r="AC98" s="56"/>
      <c r="AD98" s="56"/>
      <c r="AE98" s="83" t="e">
        <f>ROUND(AB98*(HLOOKUP(AB$7,$D$9:$G98,ROW()-8,0)+AE$8),0)+ROUND(AD98*AE$8,0)</f>
        <v>#N/A</v>
      </c>
      <c r="AF98" s="53"/>
      <c r="AG98" s="56"/>
      <c r="AH98" s="56"/>
      <c r="AI98" s="83" t="e">
        <f>ROUND(AF98*(HLOOKUP(AF$7,$D$9:$G98,ROW()-8,0)+AI$8),0)+ROUND(AH98*AI$8,0)</f>
        <v>#N/A</v>
      </c>
      <c r="AJ98" s="53"/>
      <c r="AK98" s="56"/>
      <c r="AL98" s="56"/>
      <c r="AM98" s="83" t="e">
        <f>ROUND(AJ98*(HLOOKUP(AJ$7,$D$9:$G98,ROW()-8,0)+AM$8),0)+ROUND(AL98*AM$8,0)</f>
        <v>#N/A</v>
      </c>
      <c r="AN98" s="53"/>
      <c r="AO98" s="56"/>
      <c r="AP98" s="56"/>
      <c r="AQ98" s="83" t="e">
        <f>ROUND(AN98*(HLOOKUP(AN$7,$D$9:$G98,ROW()-8,0)+AQ$8),0)+ROUND(AP98*AQ$8,0)</f>
        <v>#N/A</v>
      </c>
      <c r="AR98" s="53"/>
      <c r="AS98" s="56"/>
      <c r="AT98" s="56"/>
      <c r="AU98" s="83" t="e">
        <f>ROUND(AR98*(HLOOKUP(AR$7,$D$9:$G98,ROW()-8,0)+AU$8),0)+ROUND(AT98*AU$8,0)</f>
        <v>#N/A</v>
      </c>
      <c r="AV98" s="53"/>
      <c r="AW98" s="56"/>
      <c r="AX98" s="56"/>
      <c r="AY98" s="83" t="e">
        <f>ROUND(AV98*(HLOOKUP(AV$7,$D$9:$G98,ROW()-8,0)+AY$8),0)+ROUND(AX98*AY$8,0)</f>
        <v>#N/A</v>
      </c>
      <c r="AZ98" s="53"/>
      <c r="BA98" s="56"/>
      <c r="BB98" s="56"/>
      <c r="BC98" s="83" t="e">
        <f>ROUND(AZ98*(HLOOKUP(AZ$7,$D$9:$G98,ROW()-8,0)+BC$8),0)+ROUND(BB98*BC$8,0)</f>
        <v>#N/A</v>
      </c>
      <c r="BD98" s="53"/>
      <c r="BE98" s="56"/>
      <c r="BF98" s="56"/>
      <c r="BG98" s="83" t="e">
        <f>ROUND(BD98*(HLOOKUP(BD$7,$D$9:$G98,ROW()-8,0)+BG$8),0)+ROUND(BF98*BG$8,0)</f>
        <v>#N/A</v>
      </c>
      <c r="BH98" s="53"/>
      <c r="BI98" s="56"/>
      <c r="BJ98" s="56"/>
      <c r="BK98" s="83" t="e">
        <f>ROUND(BH98*(HLOOKUP(BH$7,$D$9:$G98,ROW()-8,0)+BK$8),0)+ROUND(BJ98*BK$8,0)</f>
        <v>#N/A</v>
      </c>
      <c r="BL98" s="53"/>
      <c r="BM98" s="56"/>
      <c r="BN98" s="56"/>
      <c r="BO98" s="83" t="e">
        <f>ROUND(BL98*(HLOOKUP(BL$7,$D$9:$G98,ROW()-8,0)+BO$8),0)+ROUND(BN98*BO$8,0)</f>
        <v>#N/A</v>
      </c>
      <c r="BP98" s="53"/>
      <c r="BQ98" s="56"/>
      <c r="BR98" s="56"/>
      <c r="BS98" s="83" t="e">
        <f>ROUND(BP98*(HLOOKUP(BP$7,$D$9:$G98,ROW()-8,0)+BS$8),0)+ROUND(BR98*BS$8,0)</f>
        <v>#N/A</v>
      </c>
      <c r="BT98" s="54">
        <f t="shared" si="4"/>
        <v>0</v>
      </c>
      <c r="BU98" s="54">
        <f t="shared" si="4"/>
        <v>0</v>
      </c>
      <c r="BV98" s="54">
        <f t="shared" si="4"/>
        <v>0</v>
      </c>
      <c r="BW98" s="54">
        <f t="shared" si="4"/>
        <v>0</v>
      </c>
      <c r="BX98" s="63"/>
      <c r="BY98" s="107"/>
      <c r="BZ98" s="57" t="e">
        <f t="shared" si="3"/>
        <v>#DIV/0!</v>
      </c>
    </row>
    <row r="99" spans="2:78" ht="18" thickBot="1">
      <c r="C99" s="64"/>
      <c r="D99" s="105"/>
      <c r="E99" s="106"/>
      <c r="F99" s="106"/>
      <c r="G99" s="110"/>
      <c r="H99" s="95"/>
      <c r="I99" s="56"/>
      <c r="J99" s="56"/>
      <c r="K99" s="83" t="e">
        <f>ROUND(H99*(HLOOKUP(H$7,$D$9:$G99,ROW()-8,0)+K$8),0)+ROUND(J99*K$8,0)</f>
        <v>#N/A</v>
      </c>
      <c r="L99" s="53"/>
      <c r="M99" s="56"/>
      <c r="N99" s="56"/>
      <c r="O99" s="83" t="e">
        <f>ROUND(L99*(HLOOKUP(L$7,$D$9:$G99,ROW()-8,0)+O$8),0)+ROUND(N99*O$8,0)</f>
        <v>#N/A</v>
      </c>
      <c r="P99" s="53"/>
      <c r="Q99" s="56"/>
      <c r="R99" s="56"/>
      <c r="S99" s="83" t="e">
        <f>ROUND(P99*(HLOOKUP(P$7,$D$9:$G99,ROW()-8,0)+S$8),0)+ROUND(R99*S$8,0)</f>
        <v>#N/A</v>
      </c>
      <c r="T99" s="53"/>
      <c r="U99" s="56"/>
      <c r="V99" s="56"/>
      <c r="W99" s="83" t="e">
        <f>ROUND(T99*(HLOOKUP(T$7,$D$9:$G99,ROW()-8,0)+W$8),0)+ROUND(V99*W$8,0)</f>
        <v>#N/A</v>
      </c>
      <c r="X99" s="53"/>
      <c r="Y99" s="56"/>
      <c r="Z99" s="56"/>
      <c r="AA99" s="83" t="e">
        <f>ROUND(X99*(HLOOKUP(X$7,$D$9:$G99,ROW()-8,0)+AA$8),0)+ROUND(Z99*AA$8,0)</f>
        <v>#N/A</v>
      </c>
      <c r="AB99" s="53"/>
      <c r="AC99" s="56"/>
      <c r="AD99" s="56"/>
      <c r="AE99" s="83" t="e">
        <f>ROUND(AB99*(HLOOKUP(AB$7,$D$9:$G99,ROW()-8,0)+AE$8),0)+ROUND(AD99*AE$8,0)</f>
        <v>#N/A</v>
      </c>
      <c r="AF99" s="53"/>
      <c r="AG99" s="56"/>
      <c r="AH99" s="56"/>
      <c r="AI99" s="83" t="e">
        <f>ROUND(AF99*(HLOOKUP(AF$7,$D$9:$G99,ROW()-8,0)+AI$8),0)+ROUND(AH99*AI$8,0)</f>
        <v>#N/A</v>
      </c>
      <c r="AJ99" s="53"/>
      <c r="AK99" s="56"/>
      <c r="AL99" s="56"/>
      <c r="AM99" s="83" t="e">
        <f>ROUND(AJ99*(HLOOKUP(AJ$7,$D$9:$G99,ROW()-8,0)+AM$8),0)+ROUND(AL99*AM$8,0)</f>
        <v>#N/A</v>
      </c>
      <c r="AN99" s="53"/>
      <c r="AO99" s="56"/>
      <c r="AP99" s="56"/>
      <c r="AQ99" s="83" t="e">
        <f>ROUND(AN99*(HLOOKUP(AN$7,$D$9:$G99,ROW()-8,0)+AQ$8),0)+ROUND(AP99*AQ$8,0)</f>
        <v>#N/A</v>
      </c>
      <c r="AR99" s="53"/>
      <c r="AS99" s="56"/>
      <c r="AT99" s="56"/>
      <c r="AU99" s="83" t="e">
        <f>ROUND(AR99*(HLOOKUP(AR$7,$D$9:$G99,ROW()-8,0)+AU$8),0)+ROUND(AT99*AU$8,0)</f>
        <v>#N/A</v>
      </c>
      <c r="AV99" s="53"/>
      <c r="AW99" s="56"/>
      <c r="AX99" s="56"/>
      <c r="AY99" s="83" t="e">
        <f>ROUND(AV99*(HLOOKUP(AV$7,$D$9:$G99,ROW()-8,0)+AY$8),0)+ROUND(AX99*AY$8,0)</f>
        <v>#N/A</v>
      </c>
      <c r="AZ99" s="53"/>
      <c r="BA99" s="56"/>
      <c r="BB99" s="56"/>
      <c r="BC99" s="83" t="e">
        <f>ROUND(AZ99*(HLOOKUP(AZ$7,$D$9:$G99,ROW()-8,0)+BC$8),0)+ROUND(BB99*BC$8,0)</f>
        <v>#N/A</v>
      </c>
      <c r="BD99" s="53"/>
      <c r="BE99" s="56"/>
      <c r="BF99" s="56"/>
      <c r="BG99" s="83" t="e">
        <f>ROUND(BD99*(HLOOKUP(BD$7,$D$9:$G99,ROW()-8,0)+BG$8),0)+ROUND(BF99*BG$8,0)</f>
        <v>#N/A</v>
      </c>
      <c r="BH99" s="53"/>
      <c r="BI99" s="56"/>
      <c r="BJ99" s="56"/>
      <c r="BK99" s="83" t="e">
        <f>ROUND(BH99*(HLOOKUP(BH$7,$D$9:$G99,ROW()-8,0)+BK$8),0)+ROUND(BJ99*BK$8,0)</f>
        <v>#N/A</v>
      </c>
      <c r="BL99" s="53"/>
      <c r="BM99" s="56"/>
      <c r="BN99" s="56"/>
      <c r="BO99" s="83" t="e">
        <f>ROUND(BL99*(HLOOKUP(BL$7,$D$9:$G99,ROW()-8,0)+BO$8),0)+ROUND(BN99*BO$8,0)</f>
        <v>#N/A</v>
      </c>
      <c r="BP99" s="53"/>
      <c r="BQ99" s="56"/>
      <c r="BR99" s="56"/>
      <c r="BS99" s="83" t="e">
        <f>ROUND(BP99*(HLOOKUP(BP$7,$D$9:$G99,ROW()-8,0)+BS$8),0)+ROUND(BR99*BS$8,0)</f>
        <v>#N/A</v>
      </c>
      <c r="BT99" s="54">
        <f t="shared" si="4"/>
        <v>0</v>
      </c>
      <c r="BU99" s="54">
        <f t="shared" si="4"/>
        <v>0</v>
      </c>
      <c r="BV99" s="54">
        <f t="shared" si="4"/>
        <v>0</v>
      </c>
      <c r="BW99" s="54">
        <f t="shared" si="4"/>
        <v>0</v>
      </c>
      <c r="BX99" s="63"/>
      <c r="BY99" s="107"/>
      <c r="BZ99" s="57" t="e">
        <f t="shared" si="3"/>
        <v>#DIV/0!</v>
      </c>
    </row>
    <row r="100" spans="2:78" ht="20.25" customHeight="1" thickBot="1">
      <c r="B100" s="52"/>
      <c r="C100" s="127"/>
      <c r="D100" s="128"/>
      <c r="E100" s="128"/>
      <c r="F100" s="128"/>
      <c r="G100" s="129"/>
      <c r="H100" s="58"/>
      <c r="I100" s="84"/>
      <c r="J100" s="84"/>
      <c r="K100" s="68"/>
      <c r="L100" s="58"/>
      <c r="M100" s="84"/>
      <c r="N100" s="84"/>
      <c r="O100" s="68"/>
      <c r="P100" s="58"/>
      <c r="Q100" s="84"/>
      <c r="R100" s="84"/>
      <c r="S100" s="68"/>
      <c r="T100" s="58"/>
      <c r="U100" s="84"/>
      <c r="V100" s="84"/>
      <c r="W100" s="68"/>
      <c r="X100" s="58"/>
      <c r="Y100" s="84"/>
      <c r="Z100" s="84"/>
      <c r="AA100" s="68"/>
      <c r="AB100" s="58"/>
      <c r="AC100" s="84"/>
      <c r="AD100" s="84"/>
      <c r="AE100" s="68"/>
      <c r="AF100" s="58"/>
      <c r="AG100" s="84"/>
      <c r="AH100" s="84"/>
      <c r="AI100" s="68"/>
      <c r="AJ100" s="58"/>
      <c r="AK100" s="84"/>
      <c r="AL100" s="84"/>
      <c r="AM100" s="68"/>
      <c r="AN100" s="58"/>
      <c r="AO100" s="84"/>
      <c r="AP100" s="84"/>
      <c r="AQ100" s="68"/>
      <c r="AR100" s="58"/>
      <c r="AS100" s="84"/>
      <c r="AT100" s="84"/>
      <c r="AU100" s="68"/>
      <c r="AV100" s="58"/>
      <c r="AW100" s="84"/>
      <c r="AX100" s="84"/>
      <c r="AY100" s="68"/>
      <c r="AZ100" s="58"/>
      <c r="BA100" s="84"/>
      <c r="BB100" s="84"/>
      <c r="BC100" s="68"/>
      <c r="BD100" s="58"/>
      <c r="BE100" s="84"/>
      <c r="BF100" s="84"/>
      <c r="BG100" s="68"/>
      <c r="BH100" s="58"/>
      <c r="BI100" s="84"/>
      <c r="BJ100" s="84"/>
      <c r="BK100" s="68"/>
      <c r="BL100" s="58"/>
      <c r="BM100" s="84"/>
      <c r="BN100" s="84"/>
      <c r="BO100" s="68"/>
      <c r="BP100" s="58"/>
      <c r="BQ100" s="84"/>
      <c r="BR100" s="84"/>
      <c r="BS100" s="68"/>
      <c r="BT100" s="85"/>
      <c r="BU100" s="85"/>
      <c r="BV100" s="85"/>
      <c r="BW100" s="85"/>
      <c r="BX100" s="86"/>
      <c r="BY100" s="67"/>
      <c r="BZ100" s="61"/>
    </row>
    <row r="101" spans="2:78" ht="33.75" customHeight="1" thickBot="1">
      <c r="C101" s="69" t="s">
        <v>12</v>
      </c>
      <c r="D101" s="70"/>
      <c r="E101" s="70"/>
      <c r="F101" s="70"/>
      <c r="G101" s="112"/>
      <c r="H101" s="58">
        <f>SUMIF($A$10:$A$100,"G",H$10:H100)</f>
        <v>0</v>
      </c>
      <c r="I101" s="67"/>
      <c r="J101" s="67">
        <f>SUMIF($A$10:$A$100,"G",J$10:J100)</f>
        <v>0</v>
      </c>
      <c r="K101" s="59">
        <f>SUMIF($A$10:$A$100,"G",K$10:K100)</f>
        <v>0</v>
      </c>
      <c r="L101" s="58">
        <f>SUMIF($A$10:$A$100,"G",L$10:L100)</f>
        <v>0</v>
      </c>
      <c r="M101" s="67"/>
      <c r="N101" s="67">
        <f>SUMIF($A$10:$A$100,"G",N$10:N100)</f>
        <v>0</v>
      </c>
      <c r="O101" s="59">
        <f>SUMIF($A$10:$A$100,"G",O$10:O100)</f>
        <v>0</v>
      </c>
      <c r="P101" s="58">
        <f>SUMIF($A$10:$A$100,"G",P$10:P100)</f>
        <v>0</v>
      </c>
      <c r="Q101" s="67"/>
      <c r="R101" s="67">
        <f>SUMIF($A$10:$A$100,"G",R$10:R100)</f>
        <v>0</v>
      </c>
      <c r="S101" s="59">
        <f>SUMIF($A$10:$A$100,"G",S$10:S100)</f>
        <v>0</v>
      </c>
      <c r="T101" s="58">
        <f>SUMIF($A$10:$A$100,"G",T$10:T100)</f>
        <v>0</v>
      </c>
      <c r="U101" s="67"/>
      <c r="V101" s="67">
        <f>SUMIF($A$10:$A$100,"G",V$10:V100)</f>
        <v>0</v>
      </c>
      <c r="W101" s="59">
        <f>SUMIF($A$10:$A$100,"G",W$10:W100)</f>
        <v>0</v>
      </c>
      <c r="X101" s="58">
        <f>SUMIF($A$10:$A$100,"G",X$10:X100)</f>
        <v>0</v>
      </c>
      <c r="Y101" s="67"/>
      <c r="Z101" s="67">
        <f>SUMIF($A$10:$A$100,"G",Z$10:Z100)</f>
        <v>0</v>
      </c>
      <c r="AA101" s="59">
        <f>SUMIF($A$10:$A$100,"G",AA$10:AA100)</f>
        <v>0</v>
      </c>
      <c r="AB101" s="58">
        <f>SUMIF($A$10:$A$100,"G",AB$10:AB100)</f>
        <v>0</v>
      </c>
      <c r="AC101" s="67"/>
      <c r="AD101" s="67">
        <f>SUMIF($A$10:$A$100,"G",AD$10:AD100)</f>
        <v>0</v>
      </c>
      <c r="AE101" s="59">
        <f>SUMIF($A$10:$A$100,"G",AE$10:AE100)</f>
        <v>0</v>
      </c>
      <c r="AF101" s="58">
        <f>SUMIF($A$10:$A$100,"G",AF$10:AF100)</f>
        <v>0</v>
      </c>
      <c r="AG101" s="67"/>
      <c r="AH101" s="67">
        <f>SUMIF($A$10:$A$100,"G",AH$10:AH100)</f>
        <v>0</v>
      </c>
      <c r="AI101" s="59">
        <f>SUMIF($A$10:$A$100,"G",AI$10:AI100)</f>
        <v>0</v>
      </c>
      <c r="AJ101" s="58">
        <f>SUMIF($A$10:$A$100,"G",AJ$10:AJ100)</f>
        <v>0</v>
      </c>
      <c r="AK101" s="67"/>
      <c r="AL101" s="67">
        <f>SUMIF($A$10:$A$100,"G",AL$10:AL100)</f>
        <v>0</v>
      </c>
      <c r="AM101" s="59">
        <f>SUMIF($A$10:$A$100,"G",AM$10:AM100)</f>
        <v>0</v>
      </c>
      <c r="AN101" s="58">
        <f>SUMIF($A$10:$A$100,"G",AN$10:AN100)</f>
        <v>0</v>
      </c>
      <c r="AO101" s="67"/>
      <c r="AP101" s="67">
        <f>SUMIF($A$10:$A$100,"G",AP$10:AP100)</f>
        <v>0</v>
      </c>
      <c r="AQ101" s="59">
        <f>SUMIF($A$10:$A$100,"G",AQ$10:AQ100)</f>
        <v>0</v>
      </c>
      <c r="AR101" s="58">
        <f>SUMIF($A$10:$A$100,"G",AR$10:AR100)</f>
        <v>0</v>
      </c>
      <c r="AS101" s="67"/>
      <c r="AT101" s="67">
        <f>SUMIF($A$10:$A$100,"G",AT$10:AT100)</f>
        <v>0</v>
      </c>
      <c r="AU101" s="59">
        <f>SUMIF($A$10:$A$100,"G",AU$10:AU100)</f>
        <v>0</v>
      </c>
      <c r="AV101" s="58">
        <f>SUMIF($A$10:$A$100,"G",AV$10:AV100)</f>
        <v>0</v>
      </c>
      <c r="AW101" s="67"/>
      <c r="AX101" s="67">
        <f>SUMIF($A$10:$A$100,"G",AX$10:AX100)</f>
        <v>0</v>
      </c>
      <c r="AY101" s="59">
        <f>SUMIF($A$10:$A$100,"G",AY$10:AY100)</f>
        <v>0</v>
      </c>
      <c r="AZ101" s="58">
        <f>SUMIF($A$10:$A$100,"G",AZ$10:AZ100)</f>
        <v>0</v>
      </c>
      <c r="BA101" s="67"/>
      <c r="BB101" s="67">
        <f>SUMIF($A$10:$A$100,"G",BB$10:BB100)</f>
        <v>0</v>
      </c>
      <c r="BC101" s="59">
        <f>SUMIF($A$10:$A$100,"G",BC$10:BC100)</f>
        <v>0</v>
      </c>
      <c r="BD101" s="58">
        <f>SUMIF($A$10:$A$100,"G",BD$10:BD100)</f>
        <v>0</v>
      </c>
      <c r="BE101" s="67"/>
      <c r="BF101" s="67">
        <f>SUMIF($A$10:$A$100,"G",BF$10:BF100)</f>
        <v>0</v>
      </c>
      <c r="BG101" s="59">
        <f>SUMIF($A$10:$A$100,"G",BG$10:BG100)</f>
        <v>0</v>
      </c>
      <c r="BH101" s="58">
        <f>SUMIF($A$10:$A$100,"G",BH$10:BH100)</f>
        <v>0</v>
      </c>
      <c r="BI101" s="67"/>
      <c r="BJ101" s="67">
        <f>SUMIF($A$10:$A$100,"G",BJ$10:BJ100)</f>
        <v>0</v>
      </c>
      <c r="BK101" s="59">
        <f>SUMIF($A$10:$A$100,"G",BK$10:BK100)</f>
        <v>0</v>
      </c>
      <c r="BL101" s="58">
        <f>SUMIF($A$10:$A$100,"G",BL$10:BL100)</f>
        <v>0</v>
      </c>
      <c r="BM101" s="67"/>
      <c r="BN101" s="67">
        <f>SUMIF($A$10:$A$100,"G",BN$10:BN100)</f>
        <v>0</v>
      </c>
      <c r="BO101" s="59">
        <f>SUMIF($A$10:$A$100,"G",BO$10:BO100)</f>
        <v>0</v>
      </c>
      <c r="BP101" s="58">
        <f>SUMIF($A$10:$A$100,"G",BP$10:BP100)</f>
        <v>0</v>
      </c>
      <c r="BQ101" s="67"/>
      <c r="BR101" s="67">
        <f>SUMIF($A$10:$A$100,"G",BR$10:BR100)</f>
        <v>0</v>
      </c>
      <c r="BS101" s="59">
        <f>SUMIF($A$10:$A$100,"G",BS$10:BS100)</f>
        <v>0</v>
      </c>
      <c r="BT101" s="85">
        <f>SUMIF($A$10:$A$100,"G",BT$10:BT100)</f>
        <v>0</v>
      </c>
      <c r="BU101" s="60">
        <f>SUMIF($A$10:$A$100,"G",BU$10:BU100)</f>
        <v>0</v>
      </c>
      <c r="BV101" s="60">
        <f>SUMIF($A$10:$A$100,"G",BV$10:BV100)</f>
        <v>0</v>
      </c>
      <c r="BW101" s="60">
        <f>SUMIF($A$10:$A$100,"G",BW$10:BW100)</f>
        <v>0</v>
      </c>
      <c r="BX101" s="86">
        <f>SUMIF($A$10:$A$100,"G",BX$10:BX100)</f>
        <v>0</v>
      </c>
      <c r="BY101" s="67">
        <f>SUMIF($A$10:$A$100,"G",BY$10:BY100)</f>
        <v>0</v>
      </c>
      <c r="BZ101" s="66" t="e">
        <f t="shared" ref="BZ101" si="6">+BX101/BY101</f>
        <v>#DIV/0!</v>
      </c>
    </row>
  </sheetData>
  <mergeCells count="52">
    <mergeCell ref="BP3:BS3"/>
    <mergeCell ref="BP4:BS4"/>
    <mergeCell ref="BP6:BS6"/>
    <mergeCell ref="BH3:BK3"/>
    <mergeCell ref="BH4:BK4"/>
    <mergeCell ref="BH6:BK6"/>
    <mergeCell ref="BL3:BO3"/>
    <mergeCell ref="BL4:BO4"/>
    <mergeCell ref="BL6:BO6"/>
    <mergeCell ref="C100:G100"/>
    <mergeCell ref="L4:O4"/>
    <mergeCell ref="L6:O6"/>
    <mergeCell ref="P4:S4"/>
    <mergeCell ref="P6:S6"/>
    <mergeCell ref="D8:G8"/>
    <mergeCell ref="D4:G4"/>
    <mergeCell ref="AV6:AY6"/>
    <mergeCell ref="AZ6:BC6"/>
    <mergeCell ref="BD6:BG6"/>
    <mergeCell ref="AR6:AU6"/>
    <mergeCell ref="H6:K6"/>
    <mergeCell ref="AN6:AQ6"/>
    <mergeCell ref="T6:W6"/>
    <mergeCell ref="X6:AA6"/>
    <mergeCell ref="AB6:AE6"/>
    <mergeCell ref="AF6:AI6"/>
    <mergeCell ref="AJ6:AM6"/>
    <mergeCell ref="BD4:BG4"/>
    <mergeCell ref="AR4:AU4"/>
    <mergeCell ref="AV4:AY4"/>
    <mergeCell ref="AZ4:BC4"/>
    <mergeCell ref="T4:W4"/>
    <mergeCell ref="X4:AA4"/>
    <mergeCell ref="AB4:AE4"/>
    <mergeCell ref="AN4:AQ4"/>
    <mergeCell ref="AF4:AI4"/>
    <mergeCell ref="AJ4:AM4"/>
    <mergeCell ref="AV3:AY3"/>
    <mergeCell ref="AZ3:BC3"/>
    <mergeCell ref="BD3:BG3"/>
    <mergeCell ref="X3:AA3"/>
    <mergeCell ref="AB3:AE3"/>
    <mergeCell ref="AF3:AI3"/>
    <mergeCell ref="AN3:AQ3"/>
    <mergeCell ref="AJ3:AM3"/>
    <mergeCell ref="C2:X2"/>
    <mergeCell ref="H3:K3"/>
    <mergeCell ref="T3:W3"/>
    <mergeCell ref="H4:K4"/>
    <mergeCell ref="AR3:AU3"/>
    <mergeCell ref="L3:O3"/>
    <mergeCell ref="P3:S3"/>
  </mergeCells>
  <phoneticPr fontId="9"/>
  <pageMargins left="0.7" right="0.7" top="0.75" bottom="0.75" header="0.3" footer="0.3"/>
  <pageSetup paperSize="8" scale="43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/>
  <dimension ref="A1:AR19"/>
  <sheetViews>
    <sheetView workbookViewId="0"/>
  </sheetViews>
  <sheetFormatPr defaultRowHeight="13.5"/>
  <sheetData>
    <row r="1" spans="1:44">
      <c r="A1">
        <v>27480</v>
      </c>
      <c r="B1">
        <v>16460</v>
      </c>
      <c r="C1">
        <v>16120</v>
      </c>
      <c r="D1">
        <v>18580</v>
      </c>
      <c r="E1">
        <v>399180</v>
      </c>
      <c r="F1">
        <v>700030</v>
      </c>
      <c r="G1">
        <v>16360</v>
      </c>
      <c r="H1">
        <v>398440</v>
      </c>
      <c r="I1">
        <v>398510</v>
      </c>
      <c r="J1">
        <v>16510</v>
      </c>
      <c r="K1">
        <v>16330</v>
      </c>
      <c r="L1">
        <v>18600</v>
      </c>
      <c r="M1">
        <v>18590</v>
      </c>
      <c r="N1">
        <v>12810</v>
      </c>
      <c r="O1">
        <v>12820</v>
      </c>
      <c r="P1">
        <v>16070</v>
      </c>
      <c r="Q1">
        <v>16100</v>
      </c>
      <c r="R1">
        <v>16200</v>
      </c>
      <c r="S1">
        <v>16440</v>
      </c>
      <c r="T1">
        <v>16340</v>
      </c>
      <c r="U1">
        <v>700090</v>
      </c>
      <c r="V1">
        <v>700100</v>
      </c>
      <c r="W1">
        <v>700070</v>
      </c>
      <c r="X1">
        <v>398470</v>
      </c>
      <c r="Y1">
        <v>16220</v>
      </c>
      <c r="Z1">
        <v>12770</v>
      </c>
      <c r="AA1">
        <v>16590</v>
      </c>
      <c r="AB1">
        <v>26350</v>
      </c>
      <c r="AC1">
        <v>26550</v>
      </c>
      <c r="AD1">
        <v>398560</v>
      </c>
      <c r="AE1">
        <v>700060</v>
      </c>
      <c r="AF1">
        <v>700050</v>
      </c>
      <c r="AG1">
        <v>16550</v>
      </c>
      <c r="AH1">
        <v>700080</v>
      </c>
      <c r="AI1">
        <v>71826</v>
      </c>
      <c r="AJ1">
        <v>73694</v>
      </c>
      <c r="AK1">
        <v>18610</v>
      </c>
      <c r="AL1">
        <v>13080</v>
      </c>
      <c r="AM1">
        <v>18560</v>
      </c>
      <c r="AN1">
        <v>16370</v>
      </c>
      <c r="AO1">
        <v>18620</v>
      </c>
      <c r="AP1">
        <v>18630</v>
      </c>
      <c r="AQ1">
        <v>16040</v>
      </c>
      <c r="AR1">
        <v>18910</v>
      </c>
    </row>
    <row r="2" spans="1:44">
      <c r="A2" t="s">
        <v>133</v>
      </c>
      <c r="B2" t="s">
        <v>151</v>
      </c>
      <c r="C2" t="s">
        <v>151</v>
      </c>
      <c r="D2" t="s">
        <v>160</v>
      </c>
      <c r="E2" t="s">
        <v>160</v>
      </c>
      <c r="F2" t="s">
        <v>160</v>
      </c>
      <c r="G2" t="s">
        <v>160</v>
      </c>
      <c r="H2" t="s">
        <v>163</v>
      </c>
      <c r="I2" t="s">
        <v>163</v>
      </c>
      <c r="J2" t="s">
        <v>152</v>
      </c>
      <c r="K2" t="s">
        <v>169</v>
      </c>
      <c r="L2" t="s">
        <v>157</v>
      </c>
      <c r="M2" t="s">
        <v>157</v>
      </c>
      <c r="N2" t="s">
        <v>157</v>
      </c>
      <c r="O2" t="s">
        <v>157</v>
      </c>
      <c r="P2" t="s">
        <v>157</v>
      </c>
      <c r="Q2" t="s">
        <v>157</v>
      </c>
      <c r="R2" t="s">
        <v>157</v>
      </c>
      <c r="S2" t="s">
        <v>157</v>
      </c>
      <c r="T2" t="s">
        <v>157</v>
      </c>
      <c r="U2" t="s">
        <v>157</v>
      </c>
      <c r="V2" t="s">
        <v>157</v>
      </c>
      <c r="W2" t="s">
        <v>157</v>
      </c>
      <c r="X2" t="s">
        <v>157</v>
      </c>
      <c r="Y2" t="s">
        <v>157</v>
      </c>
      <c r="Z2" t="s">
        <v>157</v>
      </c>
      <c r="AA2" t="s">
        <v>157</v>
      </c>
      <c r="AB2" t="s">
        <v>157</v>
      </c>
      <c r="AC2" t="s">
        <v>157</v>
      </c>
      <c r="AD2" t="s">
        <v>157</v>
      </c>
      <c r="AE2" t="s">
        <v>157</v>
      </c>
      <c r="AF2" t="s">
        <v>157</v>
      </c>
      <c r="AG2" t="s">
        <v>157</v>
      </c>
      <c r="AH2" t="s">
        <v>157</v>
      </c>
      <c r="AI2" t="s">
        <v>157</v>
      </c>
      <c r="AJ2" t="s">
        <v>157</v>
      </c>
      <c r="AK2" t="s">
        <v>157</v>
      </c>
      <c r="AL2" t="s">
        <v>193</v>
      </c>
      <c r="AM2" t="s">
        <v>194</v>
      </c>
      <c r="AN2" t="s">
        <v>164</v>
      </c>
      <c r="AO2" t="s">
        <v>159</v>
      </c>
      <c r="AP2" t="s">
        <v>199</v>
      </c>
      <c r="AQ2" t="s">
        <v>161</v>
      </c>
      <c r="AR2" t="s">
        <v>192</v>
      </c>
    </row>
    <row r="3" spans="1:44">
      <c r="A3" t="s">
        <v>134</v>
      </c>
      <c r="B3" t="s">
        <v>152</v>
      </c>
      <c r="C3" t="s">
        <v>156</v>
      </c>
      <c r="E3" t="s">
        <v>157</v>
      </c>
      <c r="F3" t="s">
        <v>157</v>
      </c>
      <c r="G3" t="s">
        <v>157</v>
      </c>
      <c r="H3" t="s">
        <v>157</v>
      </c>
      <c r="I3" t="s">
        <v>157</v>
      </c>
      <c r="J3" t="s">
        <v>157</v>
      </c>
      <c r="K3" t="s">
        <v>157</v>
      </c>
      <c r="L3" t="s">
        <v>159</v>
      </c>
      <c r="M3" t="s">
        <v>173</v>
      </c>
      <c r="N3" t="s">
        <v>159</v>
      </c>
      <c r="O3" t="s">
        <v>159</v>
      </c>
      <c r="P3" t="s">
        <v>176</v>
      </c>
      <c r="Q3" t="s">
        <v>159</v>
      </c>
      <c r="R3" t="s">
        <v>159</v>
      </c>
      <c r="S3" t="s">
        <v>177</v>
      </c>
      <c r="V3" t="s">
        <v>179</v>
      </c>
      <c r="Y3" t="s">
        <v>164</v>
      </c>
      <c r="Z3" t="s">
        <v>159</v>
      </c>
      <c r="AC3" t="s">
        <v>164</v>
      </c>
      <c r="AE3" t="s">
        <v>159</v>
      </c>
      <c r="AF3" t="s">
        <v>182</v>
      </c>
      <c r="AG3" t="s">
        <v>184</v>
      </c>
      <c r="AI3" t="s">
        <v>187</v>
      </c>
      <c r="AJ3" t="s">
        <v>164</v>
      </c>
      <c r="AL3" t="s">
        <v>159</v>
      </c>
      <c r="AM3" t="s">
        <v>159</v>
      </c>
      <c r="AN3" t="s">
        <v>159</v>
      </c>
      <c r="AO3" t="s">
        <v>161</v>
      </c>
      <c r="AP3" t="s">
        <v>200</v>
      </c>
      <c r="AQ3" t="s">
        <v>192</v>
      </c>
      <c r="AR3" t="s">
        <v>202</v>
      </c>
    </row>
    <row r="4" spans="1:44">
      <c r="A4" t="s">
        <v>135</v>
      </c>
      <c r="B4" t="s">
        <v>153</v>
      </c>
      <c r="C4" t="s">
        <v>139</v>
      </c>
      <c r="G4" t="s">
        <v>159</v>
      </c>
      <c r="H4" t="s">
        <v>164</v>
      </c>
      <c r="I4" t="s">
        <v>165</v>
      </c>
      <c r="J4" t="s">
        <v>164</v>
      </c>
      <c r="K4" t="s">
        <v>159</v>
      </c>
      <c r="L4" t="s">
        <v>161</v>
      </c>
      <c r="M4" t="s">
        <v>159</v>
      </c>
      <c r="N4" t="s">
        <v>161</v>
      </c>
      <c r="O4" t="s">
        <v>161</v>
      </c>
      <c r="R4" t="s">
        <v>161</v>
      </c>
      <c r="S4" t="s">
        <v>178</v>
      </c>
      <c r="Y4" t="s">
        <v>159</v>
      </c>
      <c r="Z4" t="s">
        <v>161</v>
      </c>
      <c r="AF4" t="s">
        <v>183</v>
      </c>
      <c r="AG4" t="s">
        <v>159</v>
      </c>
      <c r="AI4" t="s">
        <v>159</v>
      </c>
      <c r="AJ4" t="s">
        <v>159</v>
      </c>
      <c r="AL4" t="s">
        <v>161</v>
      </c>
      <c r="AM4" t="s">
        <v>161</v>
      </c>
      <c r="AN4" t="s">
        <v>161</v>
      </c>
      <c r="AO4" t="s">
        <v>195</v>
      </c>
      <c r="AP4" t="s">
        <v>201</v>
      </c>
    </row>
    <row r="5" spans="1:44">
      <c r="A5" t="s">
        <v>136</v>
      </c>
      <c r="B5" t="s">
        <v>154</v>
      </c>
      <c r="C5" t="s">
        <v>157</v>
      </c>
      <c r="G5" t="s">
        <v>161</v>
      </c>
      <c r="J5" t="s">
        <v>158</v>
      </c>
      <c r="K5" t="s">
        <v>170</v>
      </c>
      <c r="M5" t="s">
        <v>174</v>
      </c>
      <c r="N5" t="s">
        <v>175</v>
      </c>
      <c r="O5" t="s">
        <v>175</v>
      </c>
      <c r="Y5" t="s">
        <v>168</v>
      </c>
      <c r="Z5" t="s">
        <v>181</v>
      </c>
      <c r="AF5" t="s">
        <v>159</v>
      </c>
      <c r="AG5" t="s">
        <v>166</v>
      </c>
      <c r="AI5" t="s">
        <v>188</v>
      </c>
      <c r="AJ5" t="s">
        <v>161</v>
      </c>
      <c r="AL5" t="s">
        <v>192</v>
      </c>
      <c r="AM5" t="s">
        <v>175</v>
      </c>
      <c r="AN5" t="s">
        <v>192</v>
      </c>
      <c r="AO5" t="s">
        <v>175</v>
      </c>
    </row>
    <row r="6" spans="1:44">
      <c r="A6" t="s">
        <v>137</v>
      </c>
      <c r="B6" t="s">
        <v>155</v>
      </c>
      <c r="C6" t="s">
        <v>158</v>
      </c>
      <c r="G6" t="s">
        <v>162</v>
      </c>
      <c r="J6" t="s">
        <v>159</v>
      </c>
      <c r="K6" t="s">
        <v>171</v>
      </c>
      <c r="M6" t="s">
        <v>172</v>
      </c>
      <c r="Y6" t="s">
        <v>161</v>
      </c>
      <c r="AG6" t="s">
        <v>161</v>
      </c>
      <c r="AI6" t="s">
        <v>161</v>
      </c>
      <c r="AJ6" t="s">
        <v>192</v>
      </c>
      <c r="AL6" t="s">
        <v>181</v>
      </c>
      <c r="AM6" t="s">
        <v>192</v>
      </c>
      <c r="AO6" t="s">
        <v>196</v>
      </c>
    </row>
    <row r="7" spans="1:44">
      <c r="A7" t="s">
        <v>138</v>
      </c>
      <c r="C7" t="s">
        <v>159</v>
      </c>
      <c r="J7" t="s">
        <v>166</v>
      </c>
      <c r="K7" t="s">
        <v>172</v>
      </c>
      <c r="M7" t="s">
        <v>161</v>
      </c>
      <c r="Y7" t="s">
        <v>180</v>
      </c>
      <c r="AG7" t="s">
        <v>185</v>
      </c>
      <c r="AI7" t="s">
        <v>189</v>
      </c>
      <c r="AO7" t="s">
        <v>181</v>
      </c>
    </row>
    <row r="8" spans="1:44">
      <c r="A8" t="s">
        <v>139</v>
      </c>
      <c r="J8" t="s">
        <v>167</v>
      </c>
      <c r="K8" t="s">
        <v>161</v>
      </c>
      <c r="AG8" t="s">
        <v>175</v>
      </c>
      <c r="AI8" t="s">
        <v>190</v>
      </c>
      <c r="AO8" t="s">
        <v>197</v>
      </c>
    </row>
    <row r="9" spans="1:44">
      <c r="A9" t="s">
        <v>140</v>
      </c>
      <c r="J9" t="s">
        <v>168</v>
      </c>
      <c r="AG9" t="s">
        <v>186</v>
      </c>
      <c r="AI9" t="s">
        <v>191</v>
      </c>
      <c r="AO9" t="s">
        <v>198</v>
      </c>
    </row>
    <row r="10" spans="1:44">
      <c r="A10" t="s">
        <v>141</v>
      </c>
    </row>
    <row r="11" spans="1:44">
      <c r="A11" t="s">
        <v>142</v>
      </c>
    </row>
    <row r="12" spans="1:44">
      <c r="A12" t="s">
        <v>143</v>
      </c>
    </row>
    <row r="13" spans="1:44">
      <c r="A13" t="s">
        <v>144</v>
      </c>
    </row>
    <row r="14" spans="1:44">
      <c r="A14" t="s">
        <v>145</v>
      </c>
    </row>
    <row r="15" spans="1:44">
      <c r="A15" t="s">
        <v>146</v>
      </c>
    </row>
    <row r="16" spans="1:44">
      <c r="A16" t="s">
        <v>147</v>
      </c>
    </row>
    <row r="17" spans="1:1">
      <c r="A17" t="s">
        <v>148</v>
      </c>
    </row>
    <row r="18" spans="1:1">
      <c r="A18" t="s">
        <v>149</v>
      </c>
    </row>
    <row r="19" spans="1:1">
      <c r="A19" t="s">
        <v>150</v>
      </c>
    </row>
  </sheetData>
  <phoneticPr fontId="9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DR7"/>
  <sheetViews>
    <sheetView workbookViewId="0"/>
  </sheetViews>
  <sheetFormatPr defaultRowHeight="13.5"/>
  <sheetData>
    <row r="1" spans="1:122">
      <c r="A1">
        <v>27480</v>
      </c>
      <c r="B1">
        <v>27480</v>
      </c>
      <c r="C1">
        <v>27480</v>
      </c>
      <c r="D1">
        <v>16460</v>
      </c>
      <c r="E1">
        <v>16120</v>
      </c>
      <c r="F1">
        <v>27480</v>
      </c>
      <c r="G1">
        <v>18580</v>
      </c>
      <c r="H1">
        <v>27480</v>
      </c>
      <c r="I1">
        <v>27480</v>
      </c>
      <c r="J1">
        <v>16120</v>
      </c>
      <c r="K1">
        <v>27480</v>
      </c>
      <c r="L1">
        <v>16120</v>
      </c>
      <c r="M1">
        <v>27480</v>
      </c>
      <c r="N1">
        <v>16460</v>
      </c>
      <c r="O1">
        <v>27480</v>
      </c>
      <c r="P1">
        <v>16460</v>
      </c>
      <c r="Q1">
        <v>27480</v>
      </c>
      <c r="R1">
        <v>18600</v>
      </c>
      <c r="S1">
        <v>18590</v>
      </c>
      <c r="T1">
        <v>12810</v>
      </c>
      <c r="U1">
        <v>12820</v>
      </c>
      <c r="V1">
        <v>16100</v>
      </c>
      <c r="W1">
        <v>16200</v>
      </c>
      <c r="X1">
        <v>16440</v>
      </c>
      <c r="Y1">
        <v>700090</v>
      </c>
      <c r="Z1">
        <v>16120</v>
      </c>
      <c r="AA1">
        <v>16220</v>
      </c>
      <c r="AB1">
        <v>12770</v>
      </c>
      <c r="AC1">
        <v>16590</v>
      </c>
      <c r="AD1">
        <v>26350</v>
      </c>
      <c r="AE1">
        <v>700050</v>
      </c>
      <c r="AF1">
        <v>26550</v>
      </c>
      <c r="AG1">
        <v>16550</v>
      </c>
      <c r="AH1">
        <v>700080</v>
      </c>
      <c r="AI1">
        <v>71826</v>
      </c>
      <c r="AJ1">
        <v>73694</v>
      </c>
      <c r="AK1">
        <v>18610</v>
      </c>
      <c r="AL1">
        <v>13080</v>
      </c>
      <c r="AM1">
        <v>27480</v>
      </c>
      <c r="AN1">
        <v>18560</v>
      </c>
      <c r="AO1">
        <v>700050</v>
      </c>
      <c r="AP1">
        <v>27480</v>
      </c>
      <c r="AQ1">
        <v>700050</v>
      </c>
      <c r="AR1">
        <v>16440</v>
      </c>
      <c r="AS1">
        <v>27480</v>
      </c>
      <c r="AT1">
        <v>16550</v>
      </c>
      <c r="AU1">
        <v>27480</v>
      </c>
      <c r="AV1">
        <v>16460</v>
      </c>
      <c r="AW1">
        <v>16440</v>
      </c>
      <c r="AX1">
        <v>71826</v>
      </c>
      <c r="AY1">
        <v>16460</v>
      </c>
      <c r="AZ1">
        <v>27480</v>
      </c>
      <c r="BA1">
        <v>73694</v>
      </c>
      <c r="BB1">
        <v>16370</v>
      </c>
      <c r="BC1">
        <v>16070</v>
      </c>
      <c r="BD1">
        <v>16120</v>
      </c>
      <c r="BE1">
        <v>18590</v>
      </c>
      <c r="BF1">
        <v>398510</v>
      </c>
      <c r="BG1">
        <v>12820</v>
      </c>
      <c r="BH1">
        <v>18600</v>
      </c>
      <c r="BI1">
        <v>18590</v>
      </c>
      <c r="BJ1">
        <v>12810</v>
      </c>
      <c r="BK1">
        <v>13080</v>
      </c>
      <c r="BL1">
        <v>16100</v>
      </c>
      <c r="BM1">
        <v>18560</v>
      </c>
      <c r="BN1">
        <v>16370</v>
      </c>
      <c r="BO1">
        <v>16120</v>
      </c>
      <c r="BP1">
        <v>16550</v>
      </c>
      <c r="BQ1">
        <v>18620</v>
      </c>
      <c r="BR1">
        <v>12770</v>
      </c>
      <c r="BS1">
        <v>16200</v>
      </c>
      <c r="BT1">
        <v>71826</v>
      </c>
      <c r="BU1">
        <v>73694</v>
      </c>
      <c r="BV1">
        <v>27480</v>
      </c>
      <c r="BW1">
        <v>27480</v>
      </c>
      <c r="BX1">
        <v>71826</v>
      </c>
      <c r="BY1">
        <v>18590</v>
      </c>
      <c r="BZ1">
        <v>16550</v>
      </c>
      <c r="CA1">
        <v>16330</v>
      </c>
      <c r="CB1">
        <v>18590</v>
      </c>
      <c r="CC1">
        <v>16220</v>
      </c>
      <c r="CD1">
        <v>18620</v>
      </c>
      <c r="CE1">
        <v>18590</v>
      </c>
      <c r="CF1">
        <v>16040</v>
      </c>
      <c r="CG1">
        <v>12810</v>
      </c>
      <c r="CH1">
        <v>18600</v>
      </c>
      <c r="CI1">
        <v>18560</v>
      </c>
      <c r="CJ1">
        <v>16370</v>
      </c>
      <c r="CK1">
        <v>16220</v>
      </c>
      <c r="CL1">
        <v>12820</v>
      </c>
      <c r="CM1">
        <v>16550</v>
      </c>
      <c r="CN1">
        <v>13080</v>
      </c>
      <c r="CO1">
        <v>16200</v>
      </c>
      <c r="CP1">
        <v>71826</v>
      </c>
      <c r="CQ1">
        <v>12770</v>
      </c>
      <c r="CR1">
        <v>73694</v>
      </c>
      <c r="CS1">
        <v>16550</v>
      </c>
      <c r="CT1">
        <v>71826</v>
      </c>
      <c r="CU1">
        <v>18620</v>
      </c>
      <c r="CV1">
        <v>27480</v>
      </c>
      <c r="CW1">
        <v>16220</v>
      </c>
      <c r="CX1">
        <v>71826</v>
      </c>
      <c r="CY1">
        <v>12810</v>
      </c>
      <c r="CZ1">
        <v>18560</v>
      </c>
      <c r="DA1">
        <v>18620</v>
      </c>
      <c r="DB1">
        <v>12820</v>
      </c>
      <c r="DC1">
        <v>16550</v>
      </c>
      <c r="DD1">
        <v>16550</v>
      </c>
      <c r="DE1">
        <v>71826</v>
      </c>
      <c r="DF1">
        <v>16040</v>
      </c>
      <c r="DG1">
        <v>18910</v>
      </c>
      <c r="DH1">
        <v>18560</v>
      </c>
      <c r="DI1">
        <v>16370</v>
      </c>
      <c r="DJ1">
        <v>13080</v>
      </c>
      <c r="DK1">
        <v>73694</v>
      </c>
      <c r="DL1">
        <v>18620</v>
      </c>
      <c r="DM1">
        <v>18620</v>
      </c>
      <c r="DN1">
        <v>12770</v>
      </c>
      <c r="DO1">
        <v>13080</v>
      </c>
      <c r="DP1">
        <v>18620</v>
      </c>
      <c r="DQ1">
        <v>18910</v>
      </c>
      <c r="DR1">
        <v>18620</v>
      </c>
    </row>
    <row r="2" spans="1:122">
      <c r="A2">
        <v>2400</v>
      </c>
      <c r="B2">
        <v>2650</v>
      </c>
      <c r="C2">
        <v>3500</v>
      </c>
      <c r="D2">
        <v>4500</v>
      </c>
      <c r="E2">
        <v>4500</v>
      </c>
      <c r="F2">
        <v>4600</v>
      </c>
      <c r="G2">
        <v>5000</v>
      </c>
      <c r="H2">
        <v>5050</v>
      </c>
      <c r="I2">
        <v>5900</v>
      </c>
      <c r="J2">
        <v>6000</v>
      </c>
      <c r="K2">
        <v>7000</v>
      </c>
      <c r="L2">
        <v>7000</v>
      </c>
      <c r="M2">
        <v>7850</v>
      </c>
      <c r="N2">
        <v>8000</v>
      </c>
      <c r="O2">
        <v>8550</v>
      </c>
      <c r="P2">
        <v>8600</v>
      </c>
      <c r="Q2">
        <v>9450</v>
      </c>
      <c r="R2">
        <v>10000</v>
      </c>
      <c r="S2">
        <v>10000</v>
      </c>
      <c r="T2">
        <v>10000</v>
      </c>
      <c r="U2">
        <v>10000</v>
      </c>
      <c r="V2">
        <v>10000</v>
      </c>
      <c r="W2">
        <v>10000</v>
      </c>
      <c r="X2">
        <v>10000</v>
      </c>
      <c r="Y2">
        <v>10000</v>
      </c>
      <c r="Z2">
        <v>10000</v>
      </c>
      <c r="AA2">
        <v>10000</v>
      </c>
      <c r="AB2">
        <v>10000</v>
      </c>
      <c r="AC2">
        <v>10000</v>
      </c>
      <c r="AD2">
        <v>10000</v>
      </c>
      <c r="AE2">
        <v>10000</v>
      </c>
      <c r="AF2">
        <v>10000</v>
      </c>
      <c r="AG2">
        <v>10000</v>
      </c>
      <c r="AH2">
        <v>10000</v>
      </c>
      <c r="AI2">
        <v>10000</v>
      </c>
      <c r="AJ2">
        <v>10000</v>
      </c>
      <c r="AK2">
        <v>10000</v>
      </c>
      <c r="AL2">
        <v>10200</v>
      </c>
      <c r="AM2">
        <v>10250</v>
      </c>
      <c r="AN2">
        <v>10750</v>
      </c>
      <c r="AO2">
        <v>10900</v>
      </c>
      <c r="AP2">
        <v>11150</v>
      </c>
      <c r="AQ2">
        <v>12000</v>
      </c>
      <c r="AR2">
        <v>12100</v>
      </c>
      <c r="AS2">
        <v>12900</v>
      </c>
      <c r="AT2">
        <v>13000</v>
      </c>
      <c r="AU2">
        <v>13200</v>
      </c>
      <c r="AV2">
        <v>14000</v>
      </c>
      <c r="AW2">
        <v>14200</v>
      </c>
      <c r="AX2">
        <v>14300</v>
      </c>
      <c r="AY2">
        <v>14500</v>
      </c>
      <c r="AZ2">
        <v>14900</v>
      </c>
      <c r="BA2">
        <v>15000</v>
      </c>
      <c r="BB2">
        <v>15000</v>
      </c>
      <c r="BC2">
        <v>15400</v>
      </c>
      <c r="BD2">
        <v>17000</v>
      </c>
      <c r="BE2">
        <v>18600</v>
      </c>
      <c r="BF2">
        <v>18850</v>
      </c>
      <c r="BG2">
        <v>20000</v>
      </c>
      <c r="BH2">
        <v>20000</v>
      </c>
      <c r="BI2">
        <v>20000</v>
      </c>
      <c r="BJ2">
        <v>20000</v>
      </c>
      <c r="BK2">
        <v>20000</v>
      </c>
      <c r="BL2">
        <v>20000</v>
      </c>
      <c r="BM2">
        <v>20000</v>
      </c>
      <c r="BN2">
        <v>20000</v>
      </c>
      <c r="BO2">
        <v>20000</v>
      </c>
      <c r="BP2">
        <v>20000</v>
      </c>
      <c r="BQ2">
        <v>20000</v>
      </c>
      <c r="BR2">
        <v>20000</v>
      </c>
      <c r="BS2">
        <v>20000</v>
      </c>
      <c r="BT2">
        <v>20000</v>
      </c>
      <c r="BU2">
        <v>20000</v>
      </c>
      <c r="BV2">
        <v>20200</v>
      </c>
      <c r="BW2">
        <v>21000</v>
      </c>
      <c r="BX2">
        <v>21300</v>
      </c>
      <c r="BY2">
        <v>22300</v>
      </c>
      <c r="BZ2">
        <v>23000</v>
      </c>
      <c r="CA2">
        <v>26000</v>
      </c>
      <c r="CB2">
        <v>26000</v>
      </c>
      <c r="CC2">
        <v>27000</v>
      </c>
      <c r="CD2">
        <v>30000</v>
      </c>
      <c r="CE2">
        <v>30000</v>
      </c>
      <c r="CF2">
        <v>30000</v>
      </c>
      <c r="CG2">
        <v>30000</v>
      </c>
      <c r="CH2">
        <v>30000</v>
      </c>
      <c r="CI2">
        <v>30000</v>
      </c>
      <c r="CJ2">
        <v>30000</v>
      </c>
      <c r="CK2">
        <v>30000</v>
      </c>
      <c r="CL2">
        <v>30000</v>
      </c>
      <c r="CM2">
        <v>30000</v>
      </c>
      <c r="CN2">
        <v>30000</v>
      </c>
      <c r="CO2">
        <v>30000</v>
      </c>
      <c r="CP2">
        <v>30000</v>
      </c>
      <c r="CQ2">
        <v>30000</v>
      </c>
      <c r="CR2">
        <v>30000</v>
      </c>
      <c r="CS2">
        <v>33000</v>
      </c>
      <c r="CT2">
        <v>35350</v>
      </c>
      <c r="CU2">
        <v>35800</v>
      </c>
      <c r="CV2">
        <v>36250</v>
      </c>
      <c r="CW2">
        <v>37000</v>
      </c>
      <c r="CX2">
        <v>38800</v>
      </c>
      <c r="CY2">
        <v>40000</v>
      </c>
      <c r="CZ2">
        <v>40000</v>
      </c>
      <c r="DA2">
        <v>40000</v>
      </c>
      <c r="DB2">
        <v>40000</v>
      </c>
      <c r="DC2">
        <v>40000</v>
      </c>
      <c r="DD2">
        <v>43000</v>
      </c>
      <c r="DE2">
        <v>46100</v>
      </c>
      <c r="DF2">
        <v>50000</v>
      </c>
      <c r="DG2">
        <v>50000</v>
      </c>
      <c r="DH2">
        <v>50000</v>
      </c>
      <c r="DI2">
        <v>50000</v>
      </c>
      <c r="DJ2">
        <v>50000</v>
      </c>
      <c r="DK2">
        <v>50000</v>
      </c>
      <c r="DL2">
        <v>57750</v>
      </c>
      <c r="DM2">
        <v>60000</v>
      </c>
      <c r="DN2">
        <v>60000</v>
      </c>
      <c r="DO2">
        <v>60000</v>
      </c>
      <c r="DP2">
        <v>73800</v>
      </c>
      <c r="DQ2">
        <v>80000</v>
      </c>
      <c r="DR2">
        <v>120750</v>
      </c>
    </row>
    <row r="3" spans="1:122">
      <c r="A3" t="s">
        <v>112</v>
      </c>
      <c r="B3" t="s">
        <v>114</v>
      </c>
      <c r="C3" t="s">
        <v>115</v>
      </c>
      <c r="D3" t="s">
        <v>78</v>
      </c>
      <c r="E3" t="s">
        <v>19</v>
      </c>
      <c r="F3" t="s">
        <v>116</v>
      </c>
      <c r="G3" t="s">
        <v>20</v>
      </c>
      <c r="H3" t="s">
        <v>119</v>
      </c>
      <c r="I3" t="s">
        <v>48</v>
      </c>
      <c r="J3" t="s">
        <v>19</v>
      </c>
      <c r="K3" t="s">
        <v>117</v>
      </c>
      <c r="L3" t="s">
        <v>19</v>
      </c>
      <c r="M3" t="s">
        <v>113</v>
      </c>
      <c r="N3" t="s">
        <v>39</v>
      </c>
      <c r="O3" t="s">
        <v>130</v>
      </c>
      <c r="P3" t="s">
        <v>39</v>
      </c>
      <c r="Q3" t="s">
        <v>122</v>
      </c>
      <c r="R3" t="s">
        <v>24</v>
      </c>
      <c r="S3" t="s">
        <v>57</v>
      </c>
      <c r="T3" t="s">
        <v>64</v>
      </c>
      <c r="U3" t="s">
        <v>20</v>
      </c>
      <c r="V3" t="s">
        <v>18</v>
      </c>
      <c r="W3" t="s">
        <v>32</v>
      </c>
      <c r="X3" t="s">
        <v>20</v>
      </c>
      <c r="Y3" t="s">
        <v>52</v>
      </c>
      <c r="Z3" t="s">
        <v>19</v>
      </c>
      <c r="AA3" t="s">
        <v>72</v>
      </c>
      <c r="AB3" t="s">
        <v>72</v>
      </c>
      <c r="AC3" t="s">
        <v>52</v>
      </c>
      <c r="AD3" t="s">
        <v>32</v>
      </c>
      <c r="AE3" t="s">
        <v>79</v>
      </c>
      <c r="AF3" t="s">
        <v>31</v>
      </c>
      <c r="AG3" t="s">
        <v>80</v>
      </c>
      <c r="AH3" t="s">
        <v>91</v>
      </c>
      <c r="AI3" t="s">
        <v>97</v>
      </c>
      <c r="AJ3" t="s">
        <v>97</v>
      </c>
      <c r="AK3" t="s">
        <v>131</v>
      </c>
      <c r="AL3" t="s">
        <v>41</v>
      </c>
      <c r="AM3" t="s">
        <v>118</v>
      </c>
      <c r="AN3" t="s">
        <v>104</v>
      </c>
      <c r="AO3" t="s">
        <v>106</v>
      </c>
      <c r="AP3" t="s">
        <v>123</v>
      </c>
      <c r="AQ3" t="s">
        <v>107</v>
      </c>
      <c r="AR3" t="s">
        <v>90</v>
      </c>
      <c r="AS3" t="s">
        <v>49</v>
      </c>
      <c r="AT3" t="s">
        <v>44</v>
      </c>
      <c r="AU3" t="s">
        <v>120</v>
      </c>
      <c r="AV3" t="s">
        <v>40</v>
      </c>
      <c r="AW3" t="s">
        <v>90</v>
      </c>
      <c r="AX3" t="s">
        <v>101</v>
      </c>
      <c r="AY3" t="s">
        <v>40</v>
      </c>
      <c r="AZ3" t="s">
        <v>121</v>
      </c>
      <c r="BA3" t="s">
        <v>109</v>
      </c>
      <c r="BB3" t="s">
        <v>16</v>
      </c>
      <c r="BC3" t="s">
        <v>17</v>
      </c>
      <c r="BD3" t="s">
        <v>105</v>
      </c>
      <c r="BE3" t="s">
        <v>22</v>
      </c>
      <c r="BF3" t="s">
        <v>87</v>
      </c>
      <c r="BG3" t="s">
        <v>53</v>
      </c>
      <c r="BH3" t="s">
        <v>54</v>
      </c>
      <c r="BI3" t="s">
        <v>54</v>
      </c>
      <c r="BJ3" t="s">
        <v>36</v>
      </c>
      <c r="BK3" t="s">
        <v>63</v>
      </c>
      <c r="BL3" t="s">
        <v>18</v>
      </c>
      <c r="BM3" t="s">
        <v>26</v>
      </c>
      <c r="BN3" t="s">
        <v>16</v>
      </c>
      <c r="BO3" t="s">
        <v>76</v>
      </c>
      <c r="BP3" t="s">
        <v>82</v>
      </c>
      <c r="BQ3" t="s">
        <v>89</v>
      </c>
      <c r="BR3" t="s">
        <v>35</v>
      </c>
      <c r="BS3" t="s">
        <v>33</v>
      </c>
      <c r="BT3" t="s">
        <v>96</v>
      </c>
      <c r="BU3" t="s">
        <v>96</v>
      </c>
      <c r="BV3" t="s">
        <v>50</v>
      </c>
      <c r="BW3" t="s">
        <v>51</v>
      </c>
      <c r="BX3" t="s">
        <v>100</v>
      </c>
      <c r="BY3" t="s">
        <v>22</v>
      </c>
      <c r="BZ3" t="s">
        <v>44</v>
      </c>
      <c r="CA3" t="s">
        <v>108</v>
      </c>
      <c r="CB3" t="s">
        <v>111</v>
      </c>
      <c r="CC3" t="s">
        <v>73</v>
      </c>
      <c r="CD3" t="s">
        <v>46</v>
      </c>
      <c r="CE3" t="s">
        <v>56</v>
      </c>
      <c r="CF3" t="s">
        <v>23</v>
      </c>
      <c r="CG3" t="s">
        <v>37</v>
      </c>
      <c r="CH3" t="s">
        <v>25</v>
      </c>
      <c r="CI3" t="s">
        <v>67</v>
      </c>
      <c r="CJ3" t="s">
        <v>15</v>
      </c>
      <c r="CK3" t="s">
        <v>71</v>
      </c>
      <c r="CL3" t="s">
        <v>74</v>
      </c>
      <c r="CM3" t="s">
        <v>82</v>
      </c>
      <c r="CN3" t="s">
        <v>83</v>
      </c>
      <c r="CO3" t="s">
        <v>33</v>
      </c>
      <c r="CP3" t="s">
        <v>95</v>
      </c>
      <c r="CQ3" t="s">
        <v>35</v>
      </c>
      <c r="CR3" t="s">
        <v>95</v>
      </c>
      <c r="CS3" t="s">
        <v>44</v>
      </c>
      <c r="CT3" t="s">
        <v>98</v>
      </c>
      <c r="CU3" t="s">
        <v>42</v>
      </c>
      <c r="CV3" t="s">
        <v>77</v>
      </c>
      <c r="CW3" t="s">
        <v>28</v>
      </c>
      <c r="CX3" t="s">
        <v>94</v>
      </c>
      <c r="CY3" t="s">
        <v>38</v>
      </c>
      <c r="CZ3" t="s">
        <v>26</v>
      </c>
      <c r="DA3" t="s">
        <v>68</v>
      </c>
      <c r="DB3" t="s">
        <v>34</v>
      </c>
      <c r="DC3" t="s">
        <v>80</v>
      </c>
      <c r="DD3" t="s">
        <v>45</v>
      </c>
      <c r="DE3" t="s">
        <v>93</v>
      </c>
      <c r="DF3" t="s">
        <v>61</v>
      </c>
      <c r="DG3" t="s">
        <v>66</v>
      </c>
      <c r="DH3" t="s">
        <v>26</v>
      </c>
      <c r="DI3" t="s">
        <v>16</v>
      </c>
      <c r="DJ3" t="s">
        <v>99</v>
      </c>
      <c r="DK3" t="s">
        <v>93</v>
      </c>
      <c r="DL3" t="s">
        <v>47</v>
      </c>
      <c r="DM3" t="s">
        <v>75</v>
      </c>
      <c r="DN3" t="s">
        <v>35</v>
      </c>
      <c r="DO3" t="s">
        <v>99</v>
      </c>
      <c r="DP3" t="s">
        <v>43</v>
      </c>
      <c r="DQ3" t="s">
        <v>70</v>
      </c>
      <c r="DR3" t="s">
        <v>124</v>
      </c>
    </row>
    <row r="4" spans="1:122">
      <c r="J4" t="s">
        <v>132</v>
      </c>
      <c r="R4" t="s">
        <v>55</v>
      </c>
      <c r="X4" t="s">
        <v>126</v>
      </c>
      <c r="Y4" t="s">
        <v>81</v>
      </c>
      <c r="AC4" t="s">
        <v>131</v>
      </c>
      <c r="AE4" t="s">
        <v>92</v>
      </c>
      <c r="AI4" t="s">
        <v>103</v>
      </c>
      <c r="BH4" t="s">
        <v>60</v>
      </c>
      <c r="BI4" t="s">
        <v>21</v>
      </c>
      <c r="BK4" t="s">
        <v>110</v>
      </c>
      <c r="BX4" t="s">
        <v>32</v>
      </c>
      <c r="CE4" t="s">
        <v>23</v>
      </c>
      <c r="CF4" t="s">
        <v>58</v>
      </c>
      <c r="CG4" t="s">
        <v>59</v>
      </c>
      <c r="CH4" t="s">
        <v>65</v>
      </c>
      <c r="CI4" t="s">
        <v>26</v>
      </c>
      <c r="CK4" t="s">
        <v>27</v>
      </c>
      <c r="CN4" t="s">
        <v>84</v>
      </c>
      <c r="DC4" t="s">
        <v>45</v>
      </c>
      <c r="DF4" t="s">
        <v>62</v>
      </c>
      <c r="DM4" t="s">
        <v>125</v>
      </c>
    </row>
    <row r="5" spans="1:122">
      <c r="X5" t="s">
        <v>127</v>
      </c>
      <c r="Y5" t="s">
        <v>88</v>
      </c>
      <c r="BX5" t="s">
        <v>102</v>
      </c>
      <c r="CF5" t="s">
        <v>56</v>
      </c>
      <c r="CN5" t="s">
        <v>85</v>
      </c>
      <c r="DF5" t="s">
        <v>30</v>
      </c>
    </row>
    <row r="6" spans="1:122">
      <c r="X6" t="s">
        <v>128</v>
      </c>
      <c r="CF6" t="s">
        <v>29</v>
      </c>
      <c r="CN6" t="s">
        <v>86</v>
      </c>
      <c r="DF6" t="s">
        <v>69</v>
      </c>
    </row>
    <row r="7" spans="1:122">
      <c r="X7" t="s">
        <v>129</v>
      </c>
    </row>
  </sheetData>
  <phoneticPr fontId="9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マクロ有効化</vt:lpstr>
      <vt:lpstr>List</vt:lpstr>
    </vt:vector>
  </TitlesOfParts>
  <Company>AEON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AEON</dc:creator>
  <cp:lastModifiedBy>木村　力也</cp:lastModifiedBy>
  <cp:lastPrinted>2024-01-20T02:21:56Z</cp:lastPrinted>
  <dcterms:created xsi:type="dcterms:W3CDTF">2016-11-04T23:58:44Z</dcterms:created>
  <dcterms:modified xsi:type="dcterms:W3CDTF">2026-02-09T04:29:21Z</dcterms:modified>
</cp:coreProperties>
</file>